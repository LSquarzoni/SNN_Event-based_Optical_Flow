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OLD) ERROR EVALUATION" sheetId="1" r:id="rId5"/>
    <sheet state="visible" name="(OLD) DEEPLOY TESTING" sheetId="2" r:id="rId6"/>
    <sheet state="visible" name="SIZE ESTIMATION" sheetId="3" r:id="rId7"/>
    <sheet state="visible" name="Readings" sheetId="4" r:id="rId8"/>
    <sheet state="visible" name="Models profiling" sheetId="5" r:id="rId9"/>
    <sheet state="visible" name="Dataset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tc={34380304-5c0a-4a63-8be3-8577b346cd1a}</author>
    <author>tc={4963401b-9aa1-421a-b0ff-49e7e24a656d}</author>
    <author>tc={cce8307a-9b50-4f0b-9c97-210c02942e8c}</author>
  </authors>
  <commentList>
    <comment authorId="0" xr:uid="{34380304-5c0a-4a63-8be3-8577b346cd1a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danno alcun dettaglio ?
</t>
      </text>
    </comment>
    <comment authorId="1" xr:uid="{4963401b-9aa1-421a-b0ff-49e7e24a656d}" ref="Q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cos'e', un SoC o FPGA ?
Reply:
	Andando a ritroso seguendo le varie fonti, penso di aver trovato l'hardware a cui fanno riferimento in questi paper per la loro stima energetica: è un acceleratore per ML chiamato Eyeriss (https://courses.cs.washington.edu/courses/cse550/21au/papers/CSE550.Eyeriss.pdf)
</t>
      </text>
    </comment>
    <comment authorId="2" xr:uid="{cce8307a-9b50-4f0b-9c97-210c02942e8c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quando replichi il codice puoi fare un torch summary e investigare quanto siano grandi questi modelli
</t>
      </text>
    </comment>
  </commentList>
</comments>
</file>

<file path=xl/sharedStrings.xml><?xml version="1.0" encoding="utf-8"?>
<sst xmlns="http://schemas.openxmlformats.org/spreadsheetml/2006/main" count="1401" uniqueCount="488">
  <si>
    <t>MODEL</t>
  </si>
  <si>
    <t>trained?</t>
  </si>
  <si>
    <t>TRAIN. RES.</t>
  </si>
  <si>
    <t>QUANTIZATION TYPE</t>
  </si>
  <si>
    <t>EVAL. RES.</t>
  </si>
  <si>
    <t>EVAL. CROP TYPE</t>
  </si>
  <si>
    <t>HIDDEN CH.</t>
  </si>
  <si>
    <t>BYTES x VAR.</t>
  </si>
  <si>
    <t>LAYER NUM.</t>
  </si>
  <si>
    <t>MAC [G]</t>
  </si>
  <si>
    <t>TOT. LIF OPS [G]</t>
  </si>
  <si>
    <t>PARAMS. [MB]</t>
  </si>
  <si>
    <t>STATES [MB]</t>
  </si>
  <si>
    <t>PEAK ALLOC. [MB]</t>
  </si>
  <si>
    <t>TOT. FWD. PASS [MB]</t>
  </si>
  <si>
    <t>EVALUATION (trained from scratch)</t>
  </si>
  <si>
    <t>indoor_flying 1</t>
  </si>
  <si>
    <t>indoor_flying 2</t>
  </si>
  <si>
    <t>indoor_flying 3</t>
  </si>
  <si>
    <t>outdoor_day 1</t>
  </si>
  <si>
    <t>average</t>
  </si>
  <si>
    <t xml:space="preserve">* AAE: </t>
  </si>
  <si>
    <t>per-pixel behavior, more sensitive to noise and outliers, worst case observation</t>
  </si>
  <si>
    <t>*AE of Means:</t>
  </si>
  <si>
    <t>global accuracy, robust to noise thanks to averaging</t>
  </si>
  <si>
    <t>AEE ↓</t>
  </si>
  <si>
    <t>AAE ↓</t>
  </si>
  <si>
    <t>AE of Avg ↓</t>
  </si>
  <si>
    <t>AEE ↓ (pixel)</t>
  </si>
  <si>
    <t>AAE ↓ (rad)</t>
  </si>
  <si>
    <t>AAE ↓ (degrees)</t>
  </si>
  <si>
    <t>AE of Avg ↓ (rad)</t>
  </si>
  <si>
    <t>AE of Avg ↓ (degrees)</t>
  </si>
  <si>
    <t>dt = 1</t>
  </si>
  <si>
    <t>dt = 4</t>
  </si>
  <si>
    <t>LIF FireNet old</t>
  </si>
  <si>
    <t>128x128</t>
  </si>
  <si>
    <t>-</t>
  </si>
  <si>
    <t>256x256</t>
  </si>
  <si>
    <t>4 (fp32)</t>
  </si>
  <si>
    <t>160x160</t>
  </si>
  <si>
    <t>input</t>
  </si>
  <si>
    <t>FINAL MODELS: no validation during training, training stops when training loss stops increasing (like in the source paper), SNN torch Leaky LIF implementation, leak and threshold dim. = hidden layers</t>
  </si>
  <si>
    <t>LIF FN (scratch)</t>
  </si>
  <si>
    <t>LIF FN</t>
  </si>
  <si>
    <t>LIF FN 16ch</t>
  </si>
  <si>
    <t>LIF FN 8ch</t>
  </si>
  <si>
    <t>LIF FN 4ch</t>
  </si>
  <si>
    <t>LIF FN short</t>
  </si>
  <si>
    <t>LIF FN 16ch short</t>
  </si>
  <si>
    <t>LIF FN 8ch short</t>
  </si>
  <si>
    <t>LIF FN 4ch short</t>
  </si>
  <si>
    <t>LIF FFN</t>
  </si>
  <si>
    <t>LIF FFN 16ch</t>
  </si>
  <si>
    <t>LIF FFN 8ch</t>
  </si>
  <si>
    <t>LIF FFN 4ch</t>
  </si>
  <si>
    <t>LIF FFN short</t>
  </si>
  <si>
    <t>LIF FFN 16ch short</t>
  </si>
  <si>
    <t>LIF FFN 8ch short</t>
  </si>
  <si>
    <t>LIF FFN 4ch short</t>
  </si>
  <si>
    <t>256x256 TRAINING</t>
  </si>
  <si>
    <t>FULL RECURRENT MODEL</t>
  </si>
  <si>
    <t>LIF FN fullREC</t>
  </si>
  <si>
    <t>INPUT CROPPING (by AVERAGE POOLING)</t>
  </si>
  <si>
    <t>32x32</t>
  </si>
  <si>
    <t>64x64</t>
  </si>
  <si>
    <t>MODELS FROM ORIGINAL REPO (trained by authors)</t>
  </si>
  <si>
    <t>LIF EV FlowNet</t>
  </si>
  <si>
    <t>LIF FireNet</t>
  </si>
  <si>
    <t>QUANTIZATION TO int8</t>
  </si>
  <si>
    <t>AEE % diff.</t>
  </si>
  <si>
    <t>AAE % diff.</t>
  </si>
  <si>
    <t>AE of Avg % diff.</t>
  </si>
  <si>
    <t>Q. ranges</t>
  </si>
  <si>
    <t>PTQ [Conv.] + fp32 [LIF] (mixed precision)(1000)</t>
  </si>
  <si>
    <t>1 (int8)</t>
  </si>
  <si>
    <t>QAT [Conv.] + fp32 [LIF] (mixed precision)(fine-tuning)</t>
  </si>
  <si>
    <t>QAT [Conv.] + fp32 [LIF] (mixed precision)(scratch)</t>
  </si>
  <si>
    <t>PTQ [Conv., LIF] (1000)</t>
  </si>
  <si>
    <t>[-15, -300]</t>
  </si>
  <si>
    <t>[-15, -250]</t>
  </si>
  <si>
    <t>[-15, -100]</t>
  </si>
  <si>
    <t>[-10, -100]</t>
  </si>
  <si>
    <t>[-15, -150]</t>
  </si>
  <si>
    <t>LIF FireNet SNNtorch - val. training</t>
  </si>
  <si>
    <t>Channel variation</t>
  </si>
  <si>
    <t>LIF FireNet SNNtorch</t>
  </si>
  <si>
    <t>Resolution variation</t>
  </si>
  <si>
    <t>output</t>
  </si>
  <si>
    <t>ouput</t>
  </si>
  <si>
    <t>Layer number variation</t>
  </si>
  <si>
    <t>Channel + Layer number variation</t>
  </si>
  <si>
    <t>Channel + Input frame size variation</t>
  </si>
  <si>
    <t>Avg. AEE % diff.</t>
  </si>
  <si>
    <t>Avg. AAE % diff.</t>
  </si>
  <si>
    <t>Avg. AE of Avg. % diff.</t>
  </si>
  <si>
    <t>RESOLUTION</t>
  </si>
  <si>
    <t>CHANNELS</t>
  </si>
  <si>
    <t>EXPORTED</t>
  </si>
  <si>
    <t>OUT. CHECK</t>
  </si>
  <si>
    <t>MEM. SIZES
[kB]</t>
  </si>
  <si>
    <t>DEFAULT MEM. LEVEL</t>
  </si>
  <si>
    <t>N. MAC
[M ops., neglecting some minor ops.]</t>
  </si>
  <si>
    <t>MEMORY USAGE REPORT [MB]</t>
  </si>
  <si>
    <t>(theoretical) TOT. (int8)
[MB]</t>
  </si>
  <si>
    <t>L2 RUNTIME (LATENCY)
[M cycles]</t>
  </si>
  <si>
    <t>L3 RUNTIME (LATENCY)
[M cycles]</t>
  </si>
  <si>
    <t>FREQ. MCU 
[MHz][Siracusa]</t>
  </si>
  <si>
    <t>L2 MAX. FREQ. INFERENCE (THROUGHPUT)
[Hz]</t>
  </si>
  <si>
    <t>L3 MAX. FREQ. INFERENCE (THROUGHPUT)
[Hz]</t>
  </si>
  <si>
    <t>AEE
[pixels]</t>
  </si>
  <si>
    <t>AAE
[radiants]</t>
  </si>
  <si>
    <t>AAE
[degrees]</t>
  </si>
  <si>
    <t>AAE % error difference wrt baseline</t>
  </si>
  <si>
    <t>IPC</t>
  </si>
  <si>
    <t>CPI</t>
  </si>
  <si>
    <t>L3 SIZE
[MB]</t>
  </si>
  <si>
    <t>L2 SIZE
[MB]</t>
  </si>
  <si>
    <t>L1 SIZE
[kB]</t>
  </si>
  <si>
    <t>TOT.</t>
  </si>
  <si>
    <t>STATIC</t>
  </si>
  <si>
    <t>DYNAMIC</t>
  </si>
  <si>
    <t>LIF FN [fp32]</t>
  </si>
  <si>
    <t>L2: 1512
L1: 128</t>
  </si>
  <si>
    <t>L3</t>
  </si>
  <si>
    <t>L2</t>
  </si>
  <si>
    <t>LIF FN short [fp32]</t>
  </si>
  <si>
    <t>QUANTIZED MODELS:</t>
  </si>
  <si>
    <t>Quantization MAC % overhead</t>
  </si>
  <si>
    <t>Latency % reduction</t>
  </si>
  <si>
    <t>Throughput % speedup</t>
  </si>
  <si>
    <t>LIF FN [int8]</t>
  </si>
  <si>
    <t>LIF FN short [int8]</t>
  </si>
  <si>
    <t>LIF FireNet's architecture:</t>
  </si>
  <si>
    <t>C = current, V = membrane voltage, I = input, O = output, Z = spike, L = leak, p = previous, T = threshold, R = recurrent current</t>
  </si>
  <si>
    <t>LIF neurons' characteristics:</t>
  </si>
  <si>
    <t>activ.:</t>
  </si>
  <si>
    <t>arcTan</t>
  </si>
  <si>
    <t>reset:</t>
  </si>
  <si>
    <t>hard</t>
  </si>
  <si>
    <t>thresh.:</t>
  </si>
  <si>
    <t>(0.8, 0)</t>
  </si>
  <si>
    <t>leak:</t>
  </si>
  <si>
    <t>(-4, 0.1)</t>
  </si>
  <si>
    <t>convLIF</t>
  </si>
  <si>
    <t>convLIFrecurrent</t>
  </si>
  <si>
    <t>convLayer</t>
  </si>
  <si>
    <t>I &gt;</t>
  </si>
  <si>
    <t>E1</t>
  </si>
  <si>
    <t>&gt; Z1 &gt;</t>
  </si>
  <si>
    <t>G1</t>
  </si>
  <si>
    <t>&gt; Z2 &gt;</t>
  </si>
  <si>
    <t>E2</t>
  </si>
  <si>
    <t>&gt; Z3 &gt;</t>
  </si>
  <si>
    <t>E3</t>
  </si>
  <si>
    <t>&gt; Z4 &gt;</t>
  </si>
  <si>
    <t>G2</t>
  </si>
  <si>
    <t>&gt; Z5 &gt;</t>
  </si>
  <si>
    <t>E4</t>
  </si>
  <si>
    <t>&gt; Z6 &gt;</t>
  </si>
  <si>
    <t>E5</t>
  </si>
  <si>
    <t>&gt; Z7 &gt;</t>
  </si>
  <si>
    <t>P</t>
  </si>
  <si>
    <t>&gt; O</t>
  </si>
  <si>
    <t>C1=conv2D(I)</t>
  </si>
  <si>
    <t>V1=pV1*L1*(1-pZ1)+(1-L1)*C1</t>
  </si>
  <si>
    <t>Z1=spike_fn(V1,T1)</t>
  </si>
  <si>
    <t>C2=conv2D(Z1)</t>
  </si>
  <si>
    <t>V2=pV2*L2*(1-pZ2)+(1-L2)*(C2+R1)</t>
  </si>
  <si>
    <t>Z2=spike_fn(V2,T2)</t>
  </si>
  <si>
    <t>C3=conv2D(Z2)</t>
  </si>
  <si>
    <t>V3=pV3*L3*(1-pZ3)+(1-L3)*C3</t>
  </si>
  <si>
    <t>Z3=spike_fn(V3,T3)</t>
  </si>
  <si>
    <t>C4=conv2D(Z3)</t>
  </si>
  <si>
    <t>V4=pV4*L4*(1-pZ4)+(1-L4)*C4</t>
  </si>
  <si>
    <t>Z4=spike_fn(V4,T4)</t>
  </si>
  <si>
    <t>C5=conv2D(Z4)</t>
  </si>
  <si>
    <t>V5=pV5*L5*(1-pZ5)+(1-L5)*(C5+R2)</t>
  </si>
  <si>
    <t>Z5=spike_fn(V5,T5)</t>
  </si>
  <si>
    <t>C6=conv2D(Z5)</t>
  </si>
  <si>
    <t>V6=pV6*L6*(1-pZ6)+(1-L6)*C6</t>
  </si>
  <si>
    <t>Z6=spike_fn(V6,T6)</t>
  </si>
  <si>
    <t>C7=conv2D(Z6)</t>
  </si>
  <si>
    <t>V7=pV7*L7*(1-pZ7)+(1-L7)*C7</t>
  </si>
  <si>
    <t>Z7=spike_fn(V7,T7)</t>
  </si>
  <si>
    <t>O=conv2D(Z7)</t>
  </si>
  <si>
    <t>O=ReLU(O)</t>
  </si>
  <si>
    <t>L1=sigmoid(L1)</t>
  </si>
  <si>
    <t>pV1=V1</t>
  </si>
  <si>
    <t>pZ1=Z1</t>
  </si>
  <si>
    <t>L2=sigmoid(L2)</t>
  </si>
  <si>
    <t>pV2=V2</t>
  </si>
  <si>
    <t>pZ2=Z2</t>
  </si>
  <si>
    <t>L3=sigmoid(L3)</t>
  </si>
  <si>
    <t>pV3=V3</t>
  </si>
  <si>
    <t>pZ3=Z3</t>
  </si>
  <si>
    <t>L4=sigmoid(L4)</t>
  </si>
  <si>
    <t>pV4=V4</t>
  </si>
  <si>
    <t>pZ4=Z4</t>
  </si>
  <si>
    <t>L5=sigmoid(L5)</t>
  </si>
  <si>
    <t>pV5=V5</t>
  </si>
  <si>
    <t>pZ5=Z5</t>
  </si>
  <si>
    <t>L6=sigmoid(L6)</t>
  </si>
  <si>
    <t>pV6=V6</t>
  </si>
  <si>
    <t>pZ6=Z6</t>
  </si>
  <si>
    <t>L7=sigmoid(L7)</t>
  </si>
  <si>
    <t>pV7=V7</t>
  </si>
  <si>
    <t>pZ7=Z7</t>
  </si>
  <si>
    <t>R1=conv2D(pZ2)</t>
  </si>
  <si>
    <t>R2=conv2D(pZ5)</t>
  </si>
  <si>
    <t>H</t>
  </si>
  <si>
    <t>W</t>
  </si>
  <si>
    <t>IN_CH</t>
  </si>
  <si>
    <t>HID_CH</t>
  </si>
  <si>
    <t>OUT_CH</t>
  </si>
  <si>
    <t>K_H</t>
  </si>
  <si>
    <t>K_W</t>
  </si>
  <si>
    <t>OUT_K_H</t>
  </si>
  <si>
    <t>OUT_K_W</t>
  </si>
  <si>
    <t>DATA BYTES</t>
  </si>
  <si>
    <t xml:space="preserve">* 4 for fp32, 2 for int16, 1 for int8 </t>
  </si>
  <si>
    <t>6 LAYER VERSION</t>
  </si>
  <si>
    <t>input [MB]</t>
  </si>
  <si>
    <t>kernel [param]</t>
  </si>
  <si>
    <t>(Z,V) [MB]</t>
  </si>
  <si>
    <t>kernels [param]</t>
  </si>
  <si>
    <t>output [MB]</t>
  </si>
  <si>
    <t>TOT. params</t>
  </si>
  <si>
    <t>TOT. params [MB]</t>
  </si>
  <si>
    <t>states [MB]</t>
  </si>
  <si>
    <t>peak (G1) [MB]</t>
  </si>
  <si>
    <t>TOT. forward pass [MB]</t>
  </si>
  <si>
    <t>leak + threshold [param]</t>
  </si>
  <si>
    <t>C [MB]</t>
  </si>
  <si>
    <t>C + R [MB]</t>
  </si>
  <si>
    <t>TOT. MAC [G]</t>
  </si>
  <si>
    <t>TOT. LIF ops. [G]</t>
  </si>
  <si>
    <t>TOT. ops. [G]</t>
  </si>
  <si>
    <t>LIF ops. [G]</t>
  </si>
  <si>
    <r>
      <rPr>
        <rFont val="Arial"/>
        <b/>
        <color theme="1"/>
        <sz val="9.0"/>
      </rPr>
      <t>MAC</t>
    </r>
    <r>
      <rPr>
        <rFont val="Arial"/>
        <color theme="1"/>
        <sz val="9.0"/>
      </rPr>
      <t xml:space="preserve"> are counted only from the convolutions (MAC=2 ops.).
</t>
    </r>
    <r>
      <rPr>
        <rFont val="Arial"/>
        <b/>
        <color theme="1"/>
        <sz val="9.0"/>
      </rPr>
      <t>LIF operations</t>
    </r>
    <r>
      <rPr>
        <rFont val="Arial"/>
        <color theme="1"/>
        <sz val="9.0"/>
      </rPr>
      <t xml:space="preserve"> are the following:
leak sigmoid, voltage dynamic (3 mul, 2 sum, 1 sub), spike computation</t>
    </r>
  </si>
  <si>
    <t>LIF FireFlowNet's architecture:</t>
  </si>
  <si>
    <t>E6</t>
  </si>
  <si>
    <t>E7</t>
  </si>
  <si>
    <t>peak (E2) [MB]</t>
  </si>
  <si>
    <r>
      <rPr>
        <rFont val="Arial"/>
        <b/>
        <color theme="1"/>
        <sz val="9.0"/>
      </rPr>
      <t>MAC</t>
    </r>
    <r>
      <rPr>
        <rFont val="Arial"/>
        <color theme="1"/>
        <sz val="9.0"/>
      </rPr>
      <t xml:space="preserve"> are counted only from the convolutions (MAC=2 ops.).
</t>
    </r>
    <r>
      <rPr>
        <rFont val="Arial"/>
        <b/>
        <color theme="1"/>
        <sz val="9.0"/>
      </rPr>
      <t>LIF operations</t>
    </r>
    <r>
      <rPr>
        <rFont val="Arial"/>
        <color theme="1"/>
        <sz val="9.0"/>
      </rPr>
      <t xml:space="preserve"> are the following:
leak sigmoid, voltage dynamic (3 mul, 2 sum, 1 sub), spike computation</t>
    </r>
  </si>
  <si>
    <t>Work</t>
  </si>
  <si>
    <t>Year</t>
  </si>
  <si>
    <t>Repo</t>
  </si>
  <si>
    <t>Network</t>
  </si>
  <si>
    <t>Input size</t>
  </si>
  <si>
    <t>Task</t>
  </si>
  <si>
    <t>Parameters</t>
  </si>
  <si>
    <t>Operations</t>
  </si>
  <si>
    <t>Training</t>
  </si>
  <si>
    <t>Ground truth</t>
  </si>
  <si>
    <t>Loss</t>
  </si>
  <si>
    <t>Dataset</t>
  </si>
  <si>
    <t>Metric</t>
  </si>
  <si>
    <t>Evaluation</t>
  </si>
  <si>
    <t>HW imp.</t>
  </si>
  <si>
    <t>Type of sensor</t>
  </si>
  <si>
    <t>HW type</t>
  </si>
  <si>
    <r>
      <rPr>
        <rFont val="Arial"/>
        <color theme="1"/>
        <sz val="18.0"/>
      </rPr>
      <t xml:space="preserve">PWR cons. </t>
    </r>
    <r>
      <rPr>
        <rFont val="Arial"/>
        <color theme="1"/>
        <sz val="10.0"/>
      </rPr>
      <t>estimation</t>
    </r>
  </si>
  <si>
    <r>
      <rPr>
        <rFont val="Arial"/>
        <color theme="1"/>
        <sz val="18.0"/>
      </rPr>
      <t xml:space="preserve">PWR cons. </t>
    </r>
    <r>
      <rPr>
        <rFont val="Arial"/>
        <color theme="1"/>
        <sz val="10.0"/>
      </rPr>
      <t>(tot. pwr - idle pwr.)</t>
    </r>
  </si>
  <si>
    <t>Exec. latency</t>
  </si>
  <si>
    <t>pros</t>
  </si>
  <si>
    <t>cons</t>
  </si>
  <si>
    <t>comments</t>
  </si>
  <si>
    <t>Event-based Temporally Dense Optical Flow Estimation with Sequential Learning</t>
  </si>
  <si>
    <t>LSTM-FlowNet (ANN)</t>
  </si>
  <si>
    <t>Optical flow estimation</t>
  </si>
  <si>
    <t>53.6M</t>
  </si>
  <si>
    <t>N/A</t>
  </si>
  <si>
    <t>Sequential (supervised) learning</t>
  </si>
  <si>
    <t>pixel-level optical flow ground truth derived from odometry data</t>
  </si>
  <si>
    <t>L2 loss, based on simple squared distance between optical flow and ground truth</t>
  </si>
  <si>
    <t>DSEC</t>
  </si>
  <si>
    <t>AEE (Average Endpoint Error) - lower is better</t>
  </si>
  <si>
    <t>[100Hz] [seq method] 0,6</t>
  </si>
  <si>
    <t>Stereo event camera</t>
  </si>
  <si>
    <t>45nm CMOS technological node (SoC) (for the energy evaluation)</t>
  </si>
  <si>
    <t>Concentrates on a possible training approach, based on sequential insertion of events and neuron states</t>
  </si>
  <si>
    <t>EfficientSpike-FlowNet (SNN)</t>
  </si>
  <si>
    <t>16.6M</t>
  </si>
  <si>
    <t>[100Hz] [seq method] 2,66</t>
  </si>
  <si>
    <t>Event-Based Vision: a Survey</t>
  </si>
  <si>
    <t>Self-Supervised Learning of Event-Based Optical Flow with Spiking Neural Network</t>
  </si>
  <si>
    <t>GitHub</t>
  </si>
  <si>
    <t>EVFlowNet (non-Rec)</t>
  </si>
  <si>
    <t>[1,2,256,256]</t>
  </si>
  <si>
    <t>Self Supervised Learning algorithm proposed by the authors</t>
  </si>
  <si>
    <t>pixel-level optical flow ground truth</t>
  </si>
  <si>
    <t>Contrast maximization loss via motion compensation</t>
  </si>
  <si>
    <t>MVSEC</t>
  </si>
  <si>
    <t>[dt=4, average, all pixels] 2,68625</t>
  </si>
  <si>
    <t>Great comparison values wrt ANN architectures and focus on training algorithm and decisions to improve the quality of the training</t>
  </si>
  <si>
    <t>(Rec)EVFlowNet</t>
  </si>
  <si>
    <t>32.93M</t>
  </si>
  <si>
    <t>[dt=4, average, all pixels] 2,6875</t>
  </si>
  <si>
    <t>RNNEVFlowNet</t>
  </si>
  <si>
    <t>23.53M</t>
  </si>
  <si>
    <t>LeakyEVFlowNet</t>
  </si>
  <si>
    <t>23.54M</t>
  </si>
  <si>
    <t>LIFEVFlowNet</t>
  </si>
  <si>
    <t>20.4M</t>
  </si>
  <si>
    <t>[dt=4, average, all pixels] 3,365</t>
  </si>
  <si>
    <t>PLIFEVFlowNet</t>
  </si>
  <si>
    <t>20.41M</t>
  </si>
  <si>
    <t>ALIFEVFlowNet</t>
  </si>
  <si>
    <t>XLIFEVFlowNet</t>
  </si>
  <si>
    <t>FireNet</t>
  </si>
  <si>
    <t>14.84k</t>
  </si>
  <si>
    <t>[dt=4, average, all pixels] 3,945</t>
  </si>
  <si>
    <t>RNNFireNet</t>
  </si>
  <si>
    <t>93.15k</t>
  </si>
  <si>
    <t>LeakyFireNet</t>
  </si>
  <si>
    <t>93.38k</t>
  </si>
  <si>
    <t>LIFFireNet</t>
  </si>
  <si>
    <t>74.82k</t>
  </si>
  <si>
    <t>[dt=4, average, all pixels] 4,335</t>
  </si>
  <si>
    <t>PLIFFireNet</t>
  </si>
  <si>
    <t>75.27k</t>
  </si>
  <si>
    <t>ALIFFireNet</t>
  </si>
  <si>
    <t>XLIFFireNet</t>
  </si>
  <si>
    <t>FireFlowNet</t>
  </si>
  <si>
    <t>56.16k</t>
  </si>
  <si>
    <t>LeakyFireFlowNet</t>
  </si>
  <si>
    <t>56.39k</t>
  </si>
  <si>
    <t>LIFFireFlowNet</t>
  </si>
  <si>
    <t>A Survey on Neuromorphic Computing: Models and Hardware</t>
  </si>
  <si>
    <t>Overall study and explanation of the general SNN topic (tasks, type of neurons, architectures, encoding, etc...) - the main ASIC hardware implementation are well explained</t>
  </si>
  <si>
    <t>Fusion-FlowNet: Energy-Efficient Optical Flow Estimation using Sensor Fusion and Deep Fused Spiking-Analog Network Architecture</t>
  </si>
  <si>
    <t>REFERENCE pure-ANN</t>
  </si>
  <si>
    <t>[dt=4] 13.05M</t>
  </si>
  <si>
    <t>[dt=4] 5.37e9 MAC</t>
  </si>
  <si>
    <t>Unsupervised learning</t>
  </si>
  <si>
    <t>pixel-level optical flow generated iteratively from the gray-scale frames</t>
  </si>
  <si>
    <t>Photometric loss computed over the gray-scale images, similarly to what is done in the contrast maximization loss + a regularization loss term</t>
  </si>
  <si>
    <t>[dt=4, average, all pixels] 2,685, [dt=4, average, event pixels] 2,585</t>
  </si>
  <si>
    <t>Only frame-based, gray-scale, images</t>
  </si>
  <si>
    <t>24.67 mJ</t>
  </si>
  <si>
    <t>Hybrid approach returns better results than the pure-ANN and the "more"-SNN counterparts</t>
  </si>
  <si>
    <t>We don't have any example of an exclusively SNN architecture</t>
  </si>
  <si>
    <t>Easy to follow, explain the basics</t>
  </si>
  <si>
    <t>SNN-ANN hybrid - Fusion-FlowNet (early model)</t>
  </si>
  <si>
    <t>[dt=4] 12.27M</t>
  </si>
  <si>
    <t>[dt=4] 4.65G MAC + 4.2M AC</t>
  </si>
  <si>
    <t>[dt=4, average, all pixels] 2,5575, [dt=4, average, event pixels] 2,13</t>
  </si>
  <si>
    <t>Both frame-based and event-based sensors, working together - DAVIS sensor</t>
  </si>
  <si>
    <t>21.38 mJ</t>
  </si>
  <si>
    <t>SNN-ANN hybrid - Fusion-FlowNet (late model)</t>
  </si>
  <si>
    <t>[dt=4] 7.55M (⁓58% params. wrt. pure-ANN)</t>
  </si>
  <si>
    <t>[dt=4] 2.85G MAC + 6.44M AC</t>
  </si>
  <si>
    <t>[dt=4, average, all pixels] 2,71, [dt=4, average, event pixels] 2,1925</t>
  </si>
  <si>
    <t>13.11 mJ - [float32] AC ops. are 5.1x more efficient than MAC ops. executed in a pure-ANN algorithm</t>
  </si>
  <si>
    <t>Efficient Spiking and Artificial Neural Networks for Event Cameras</t>
  </si>
  <si>
    <t>Best of Both Worlds: Hybrid SNN-ANN Architecture for Event-based Optical Flow Estimation</t>
  </si>
  <si>
    <t>mini full-ANN</t>
  </si>
  <si>
    <t>Self-supervised learning (for MVSEC), supervised (for DSEC-flow)</t>
  </si>
  <si>
    <t>[MVSEC] same solution used in the previous work, [DSEC] supervised MSE</t>
  </si>
  <si>
    <t>MVSEC e DSEC</t>
  </si>
  <si>
    <t>[MVSEC] 1,45, [DSEC] 1,77</t>
  </si>
  <si>
    <t>Same of the ones before, depending on the specific architecture and dataset</t>
  </si>
  <si>
    <t>[MVSEC] 207,63 mJ, [DSEC] 338,93 mJ</t>
  </si>
  <si>
    <t>2 datasets used, good comparison with other architetures (lots of architectures analyzed), they investigated the difference when changing the position and the depth of the spiking layers</t>
  </si>
  <si>
    <t>The number of parameters and operations hasn't been specified</t>
  </si>
  <si>
    <t>The estimation of the power usage takes into account the possible implementation on a specific hardware, integrating the power required for memory movements</t>
  </si>
  <si>
    <t>mini full-SNN</t>
  </si>
  <si>
    <t>[MVSEC] 1,02, [DSEC] 1,65</t>
  </si>
  <si>
    <t>[MVSEC] 303,12 mJ, [DSEC] 508,96 mJ</t>
  </si>
  <si>
    <t>SNN-ANN hybrid - mini-hybrid</t>
  </si>
  <si>
    <t>[MVSEC] 0,77, [DSEC] 0,97</t>
  </si>
  <si>
    <t>[MVSEC] 207,27 mJ, [DSEC] 338,34 mJ</t>
  </si>
  <si>
    <t>TOFFE -- Temporally-binned Object Flow from Events for High-speed and Energy-Efficient Object Detection and Tracking</t>
  </si>
  <si>
    <t xml:space="preserve">SNN-ANN hybrid - TOFFE </t>
  </si>
  <si>
    <t>Object flow (pose, direction and speed estimation)</t>
  </si>
  <si>
    <t>Supervised</t>
  </si>
  <si>
    <t xml:space="preserve">Provided synthetic TOFFE dataset </t>
  </si>
  <si>
    <t>MAE (Mean Absolute Error) - for each one of the 3 different values (pose, direction, speed)</t>
  </si>
  <si>
    <t>[dt=500] pose 5,355 pixels - direction 10,769 degrees - speed 10,649 m/s</t>
  </si>
  <si>
    <t>Both event and frame based data</t>
  </si>
  <si>
    <t>GPU RTX 3090 Ti</t>
  </si>
  <si>
    <t>123 mJ</t>
  </si>
  <si>
    <t>1,34 ms</t>
  </si>
  <si>
    <t>Explains very well the definition of the task of optical flow estimation; compares the energy consumption for both generic GPUs and specific neuromorphic hardware</t>
  </si>
  <si>
    <t>Edge GPU Jetson TX2</t>
  </si>
  <si>
    <t>13 mJ</t>
  </si>
  <si>
    <t>20,12 ms</t>
  </si>
  <si>
    <t>Hybrid HW Loihi2/JetsonTX2</t>
  </si>
  <si>
    <t>8,38 mJ</t>
  </si>
  <si>
    <t>15,33 ms</t>
  </si>
  <si>
    <t>Spike-FlowNet: Event-Based Optical Flow Estimation with Energy-Efficient Hybrid Neural Networks</t>
  </si>
  <si>
    <t>SNN-ANN hybrid - Spike FlowNet</t>
  </si>
  <si>
    <t xml:space="preserve">Self-supervised </t>
  </si>
  <si>
    <t>photometric loss based on gray scale images</t>
  </si>
  <si>
    <t>[dt=1, average] 0,93, [dt=4, average] 2,585</t>
  </si>
  <si>
    <t>Hybrid approach in the sequence dimension (input is SNN and becomes ANN from the residual layers).
Particular input encoding, more similar to a real asynchronous approach.
Attention to back propagation algo.</t>
  </si>
  <si>
    <t>Optical flow estimation from event-based cameras and spiking neural networks</t>
  </si>
  <si>
    <t>spiking U-net</t>
  </si>
  <si>
    <t>[batch_size,C,H,W]
input count histogram</t>
  </si>
  <si>
    <t>pixel-level optical flow ground truth derived from LIDAR</t>
  </si>
  <si>
    <t>AEE (Average Endpoint Error)+ AE (Angular Error)</t>
  </si>
  <si>
    <t>AEE (Average Endpoint Error)+ AE (Angular Error) - lower is better</t>
  </si>
  <si>
    <t>The loss is the sum of AEE and AE.
They had great attention towards reducing the architecture complexity without sacrificing too much performance</t>
  </si>
  <si>
    <t>The LIF neurons are stateless (are brought to zero at every cycle)</t>
  </si>
  <si>
    <t>SDformerFlow: Spatiotemporal swin spikeformer for event-based optical flow estimation</t>
  </si>
  <si>
    <t>SNN transformer - SDformerFlow</t>
  </si>
  <si>
    <t>transformer spiking model</t>
  </si>
  <si>
    <t>too much weight for the model, unusable for us</t>
  </si>
  <si>
    <t>Fast Image Reconstruction with an Event Camera</t>
  </si>
  <si>
    <t>ANN FireNet</t>
  </si>
  <si>
    <t>Image recontruction from event cameras</t>
  </si>
  <si>
    <t>Back to Event Basics: Self-Supervised Learning of Image Reconstruction for Event Cameras via Photometric Constancy</t>
  </si>
  <si>
    <t>QAT</t>
  </si>
  <si>
    <t>Error metrics:</t>
  </si>
  <si>
    <r>
      <rPr>
        <rFont val="Arial"/>
        <b/>
        <color theme="1"/>
      </rPr>
      <t xml:space="preserve">AEE (Average Endpoint Error), NEE (Normalizzed Euclidean Error), AE (Angular Error) </t>
    </r>
    <r>
      <rPr>
        <rFont val="Arial"/>
        <b val="0"/>
        <color theme="1"/>
      </rPr>
      <t>(lower is better)</t>
    </r>
  </si>
  <si>
    <r>
      <rPr>
        <rFont val="Arial"/>
        <color theme="1"/>
      </rPr>
      <t xml:space="preserve">* dt = input frames and corresponding events are </t>
    </r>
    <r>
      <rPr>
        <rFont val="Arial"/>
        <i/>
        <color theme="1"/>
      </rPr>
      <t>dt</t>
    </r>
    <r>
      <rPr>
        <rFont val="Arial"/>
        <color theme="1"/>
      </rPr>
      <t xml:space="preserve"> frames apart</t>
    </r>
  </si>
  <si>
    <t>SOURCE</t>
  </si>
  <si>
    <t>INPUT size</t>
  </si>
  <si>
    <t>OPS.
[G MAC]</t>
  </si>
  <si>
    <t>PARAMS.</t>
  </si>
  <si>
    <t>est. param
SIZE [MB]</t>
  </si>
  <si>
    <t>est. TOT
SIZE [MB]</t>
  </si>
  <si>
    <r>
      <rPr>
        <rFont val="Arial"/>
        <b/>
        <color theme="1"/>
      </rPr>
      <t xml:space="preserve">EVALUATION </t>
    </r>
    <r>
      <rPr>
        <rFont val="Arial"/>
        <b val="0"/>
        <color theme="1"/>
      </rPr>
      <t>(dt=1)</t>
    </r>
  </si>
  <si>
    <r>
      <rPr>
        <rFont val="Arial"/>
        <b/>
        <color theme="1"/>
      </rPr>
      <t xml:space="preserve">EVALUATION </t>
    </r>
    <r>
      <rPr>
        <rFont val="Arial"/>
        <b val="0"/>
        <color theme="1"/>
      </rPr>
      <t>(dt=4)</t>
    </r>
  </si>
  <si>
    <t>Modello</t>
  </si>
  <si>
    <t>Parametri</t>
  </si>
  <si>
    <r>
      <rPr>
        <rFont val="Arial"/>
        <b/>
        <color theme="1"/>
      </rPr>
      <t xml:space="preserve">Valutazione
</t>
    </r>
    <r>
      <rPr>
        <rFont val="Arial"/>
        <b val="0"/>
        <color theme="1"/>
      </rPr>
      <t>(pre-trained, valori medi)</t>
    </r>
  </si>
  <si>
    <t>AEE
[pxl]</t>
  </si>
  <si>
    <t>NEE</t>
  </si>
  <si>
    <t>AE
[rad]</t>
  </si>
  <si>
    <t>GitHub repository</t>
  </si>
  <si>
    <t>EVFlowNet</t>
  </si>
  <si>
    <t>[1, 2, 256, 256]</t>
  </si>
  <si>
    <t>32,93 M</t>
  </si>
  <si>
    <t>LIF EV-FlowNet</t>
  </si>
  <si>
    <t>20,4 M</t>
  </si>
  <si>
    <t>23,54 M</t>
  </si>
  <si>
    <t>74,82 k</t>
  </si>
  <si>
    <t>LIF FireFlowNet</t>
  </si>
  <si>
    <t>56,39 k</t>
  </si>
  <si>
    <t>148,45 k</t>
  </si>
  <si>
    <t>93,38 k</t>
  </si>
  <si>
    <t>56,16 k</t>
  </si>
  <si>
    <t>Percentage difference:</t>
  </si>
  <si>
    <t>MAC</t>
  </si>
  <si>
    <t>PARAM.</t>
  </si>
  <si>
    <t>tot SIZE</t>
  </si>
  <si>
    <t>average AEE</t>
  </si>
  <si>
    <t>average NEE</t>
  </si>
  <si>
    <t>average AE</t>
  </si>
  <si>
    <t>Link</t>
  </si>
  <si>
    <t>Camera</t>
  </si>
  <si>
    <t>Frame rate [Hz]</t>
  </si>
  <si>
    <t>Original resolution</t>
  </si>
  <si>
    <t>Used resolution</t>
  </si>
  <si>
    <t>Sequences</t>
  </si>
  <si>
    <t>TRAINING</t>
  </si>
  <si>
    <t>if_10_davis_with_gt[0, 8].h5</t>
  </si>
  <si>
    <t>if_11_davis[0,19].h5</t>
  </si>
  <si>
    <t>if_12_davis[0,11].h5</t>
  </si>
  <si>
    <t>if_3_davis_with_gt[0,12].h5</t>
  </si>
  <si>
    <t>if_5_davis_with_gt[0,19].h5</t>
  </si>
  <si>
    <t>if_6_davis_with_gt[0,10].h5</t>
  </si>
  <si>
    <t>if_7_davis_with_gt[0,17].h5</t>
  </si>
  <si>
    <t>if_8_davis[0,19].h5</t>
  </si>
  <si>
    <t>if_9_davis_with_gt[0,12].h5</t>
  </si>
  <si>
    <t>events</t>
  </si>
  <si>
    <t>frames</t>
  </si>
  <si>
    <t>TOT EVENTS [M]</t>
  </si>
  <si>
    <t>TOT FRAMES</t>
  </si>
  <si>
    <t>LENGHT [s]</t>
  </si>
  <si>
    <t>UZH FPV drone</t>
  </si>
  <si>
    <t>site</t>
  </si>
  <si>
    <t>mDAVIS 346</t>
  </si>
  <si>
    <t>346x260</t>
  </si>
  <si>
    <t>EVALUATION</t>
  </si>
  <si>
    <t>indoor_flying1_data.h5</t>
  </si>
  <si>
    <t>indoor_flying2_data.h5</t>
  </si>
  <si>
    <t>indoor_flying3_data.h5</t>
  </si>
  <si>
    <t>outdoor_day1_data.h5</t>
  </si>
  <si>
    <t>DAVIS 346B</t>
  </si>
  <si>
    <t>groups in a single .h5 file:</t>
  </si>
  <si>
    <t>flow</t>
  </si>
  <si>
    <t>flow_dt1</t>
  </si>
  <si>
    <t>flow_dt4</t>
  </si>
  <si>
    <t>images</t>
  </si>
  <si>
    <t>dataset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</si>
</sst>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#,##0.000"/>
    <numFmt numFmtId="167" formatCode="0.0"/>
  </numFmts>
  <fonts count="71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rgb="FF666666"/>
      <name val="Arial"/>
      <scheme val="minor"/>
    </font>
    <font>
      <b/>
      <sz val="11.0"/>
      <color theme="7"/>
      <name val="Arial"/>
      <scheme val="minor"/>
    </font>
    <font>
      <b/>
      <sz val="13.0"/>
      <color rgb="FFCC4125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</font>
    <font>
      <b/>
      <sz val="13.0"/>
      <color rgb="FF34A853"/>
      <name val="Arial"/>
      <scheme val="minor"/>
    </font>
    <font>
      <b/>
      <sz val="13.0"/>
      <color rgb="FF000000"/>
      <name val="Arial"/>
      <scheme val="minor"/>
    </font>
    <font>
      <sz val="13.0"/>
      <color rgb="FF000000"/>
      <name val="Arial"/>
      <scheme val="minor"/>
    </font>
    <font>
      <b/>
      <sz val="13.0"/>
      <color theme="7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sz val="11.0"/>
      <color rgb="FF666666"/>
      <name val="Arial"/>
    </font>
    <font>
      <b/>
      <sz val="11.0"/>
      <color rgb="FF666666"/>
      <name val="Arial"/>
      <scheme val="minor"/>
    </font>
    <font>
      <b/>
      <sz val="11.0"/>
      <color rgb="FF34A853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4.0"/>
      <color rgb="FF999999"/>
      <name val="Arial"/>
      <scheme val="minor"/>
    </font>
    <font>
      <b/>
      <sz val="12.0"/>
      <color theme="1"/>
      <name val="Arial"/>
      <scheme val="minor"/>
    </font>
    <font>
      <b/>
      <sz val="9.0"/>
      <color theme="1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4.0"/>
      <color theme="7"/>
      <name val="Arial"/>
      <scheme val="minor"/>
    </font>
    <font>
      <b/>
      <sz val="14.0"/>
      <color rgb="FF980000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sz val="7.0"/>
      <color theme="1"/>
      <name val="Arial"/>
      <scheme val="minor"/>
    </font>
    <font>
      <b/>
      <sz val="9.0"/>
      <color rgb="FF38761D"/>
      <name val="Arial"/>
      <scheme val="minor"/>
    </font>
    <font>
      <b/>
      <sz val="9.0"/>
      <color rgb="FF980000"/>
      <name val="Arial"/>
      <scheme val="minor"/>
    </font>
    <font>
      <b/>
      <color rgb="FFA64D79"/>
      <name val="Arial"/>
      <scheme val="minor"/>
    </font>
    <font>
      <sz val="11.0"/>
      <color rgb="FF38761D"/>
      <name val="Arial"/>
      <scheme val="minor"/>
    </font>
    <font>
      <sz val="11.0"/>
      <color rgb="FF980000"/>
      <name val="Arial"/>
      <scheme val="minor"/>
    </font>
    <font>
      <b/>
      <sz val="11.0"/>
      <color rgb="FF38761D"/>
      <name val="Arial"/>
      <scheme val="minor"/>
    </font>
    <font>
      <b/>
      <sz val="11.0"/>
      <color rgb="FF980000"/>
      <name val="Arial"/>
      <scheme val="minor"/>
    </font>
    <font>
      <b/>
      <sz val="11.0"/>
      <color rgb="FFA64D79"/>
      <name val="Arial"/>
      <scheme val="minor"/>
    </font>
    <font>
      <b/>
      <color rgb="FFFF9900"/>
      <name val="Arial"/>
      <scheme val="minor"/>
    </font>
    <font>
      <b/>
      <color rgb="FF674EA7"/>
      <name val="Arial"/>
      <scheme val="minor"/>
    </font>
    <font>
      <b/>
      <sz val="11.0"/>
      <color rgb="FFFF9900"/>
      <name val="Arial"/>
      <scheme val="minor"/>
    </font>
    <font>
      <b/>
      <sz val="11.0"/>
      <color rgb="FF674EA7"/>
      <name val="Arial"/>
      <scheme val="minor"/>
    </font>
    <font>
      <sz val="11.0"/>
      <color rgb="FFFF9900"/>
      <name val="Arial"/>
      <scheme val="minor"/>
    </font>
    <font>
      <sz val="11.0"/>
      <color rgb="FF674EA7"/>
      <name val="Arial"/>
      <scheme val="minor"/>
    </font>
    <font>
      <sz val="9.0"/>
      <color theme="1"/>
      <name val="Arial"/>
      <scheme val="minor"/>
    </font>
    <font>
      <b/>
      <color rgb="FF6D9EEB"/>
      <name val="Arial"/>
      <scheme val="minor"/>
    </font>
    <font>
      <b/>
      <sz val="11.0"/>
      <color rgb="FF3C78D8"/>
      <name val="Arial"/>
      <scheme val="minor"/>
    </font>
    <font>
      <sz val="18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i/>
      <color theme="1"/>
      <name val="Arial"/>
      <scheme val="minor"/>
    </font>
    <font>
      <u/>
      <color rgb="FF0000FF"/>
    </font>
    <font>
      <b/>
      <color rgb="FF980000"/>
      <name val="Arial"/>
      <scheme val="minor"/>
    </font>
    <font>
      <u/>
      <color rgb="FF0000FF"/>
    </font>
    <font>
      <color rgb="FF98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3FFCC"/>
        <bgColor rgb="FFF3FFCC"/>
      </patternFill>
    </fill>
    <fill>
      <patternFill patternType="solid">
        <fgColor rgb="FFFEE3C7"/>
        <bgColor rgb="FFFEE3C7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5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3" fontId="4" numFmtId="164" xfId="0" applyAlignment="1" applyBorder="1" applyFont="1" applyNumberFormat="1">
      <alignment horizontal="center" readingOrder="0" shrinkToFit="0" vertical="center" wrapText="1"/>
    </xf>
    <xf borderId="7" fillId="4" fontId="4" numFmtId="164" xfId="0" applyAlignment="1" applyBorder="1" applyFont="1" applyNumberFormat="1">
      <alignment horizontal="center" readingOrder="0" shrinkToFit="0" vertical="center" wrapText="1"/>
    </xf>
    <xf borderId="7" fillId="5" fontId="4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6" fontId="6" numFmtId="0" xfId="0" applyAlignment="1" applyBorder="1" applyFill="1" applyFont="1">
      <alignment horizontal="center" readingOrder="0" shrinkToFit="0" vertical="center" wrapText="1"/>
    </xf>
    <xf borderId="7" fillId="3" fontId="3" numFmtId="165" xfId="0" applyAlignment="1" applyBorder="1" applyFont="1" applyNumberFormat="1">
      <alignment horizontal="center" readingOrder="0" shrinkToFit="0" vertical="center" wrapText="1"/>
    </xf>
    <xf borderId="7" fillId="4" fontId="3" numFmtId="165" xfId="0" applyAlignment="1" applyBorder="1" applyFont="1" applyNumberFormat="1">
      <alignment horizontal="center" readingOrder="0" shrinkToFit="0" vertical="center" wrapText="1"/>
    </xf>
    <xf borderId="7" fillId="3" fontId="3" numFmtId="2" xfId="0" applyAlignment="1" applyBorder="1" applyFont="1" applyNumberFormat="1">
      <alignment horizontal="center" shrinkToFit="0" vertical="center" wrapText="1"/>
    </xf>
    <xf borderId="7" fillId="4" fontId="3" numFmtId="2" xfId="0" applyAlignment="1" applyBorder="1" applyFont="1" applyNumberFormat="1">
      <alignment horizontal="center" shrinkToFit="0" vertical="center" wrapText="1"/>
    </xf>
    <xf borderId="7" fillId="4" fontId="3" numFmtId="1" xfId="0" applyAlignment="1" applyBorder="1" applyFont="1" applyNumberFormat="1">
      <alignment horizontal="center" shrinkToFit="0" vertical="center" wrapText="1"/>
    </xf>
    <xf borderId="0" fillId="4" fontId="3" numFmtId="1" xfId="0" applyAlignment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4" fontId="3" numFmtId="166" xfId="0" applyAlignment="1" applyBorder="1" applyFont="1" applyNumberFormat="1">
      <alignment horizontal="center" readingOrder="0" shrinkToFit="0" vertical="center" wrapText="1"/>
    </xf>
    <xf borderId="7" fillId="3" fontId="5" numFmtId="165" xfId="0" applyAlignment="1" applyBorder="1" applyFont="1" applyNumberFormat="1">
      <alignment horizontal="center" readingOrder="0" shrinkToFit="0" vertical="center" wrapText="1"/>
    </xf>
    <xf borderId="7" fillId="4" fontId="5" numFmtId="165" xfId="0" applyAlignment="1" applyBorder="1" applyFont="1" applyNumberFormat="1">
      <alignment horizontal="center" readingOrder="0" shrinkToFit="0" vertical="center" wrapText="1"/>
    </xf>
    <xf borderId="7" fillId="3" fontId="5" numFmtId="2" xfId="0" applyAlignment="1" applyBorder="1" applyFont="1" applyNumberFormat="1">
      <alignment horizontal="center" shrinkToFit="0" vertical="center" wrapText="1"/>
    </xf>
    <xf borderId="7" fillId="4" fontId="5" numFmtId="2" xfId="0" applyAlignment="1" applyBorder="1" applyFont="1" applyNumberFormat="1">
      <alignment horizontal="center" shrinkToFit="0" vertical="center" wrapText="1"/>
    </xf>
    <xf borderId="7" fillId="4" fontId="5" numFmtId="1" xfId="0" applyAlignment="1" applyBorder="1" applyFont="1" applyNumberFormat="1">
      <alignment horizontal="center" shrinkToFit="0" vertical="center" wrapText="1"/>
    </xf>
    <xf borderId="0" fillId="4" fontId="5" numFmtId="1" xfId="0" applyAlignment="1" applyFont="1" applyNumberFormat="1">
      <alignment horizontal="center" shrinkToFit="0" vertical="center" wrapText="1"/>
    </xf>
    <xf borderId="0" fillId="0" fontId="3" numFmtId="0" xfId="0" applyFont="1"/>
    <xf borderId="2" fillId="2" fontId="8" numFmtId="0" xfId="0" applyAlignment="1" applyBorder="1" applyFont="1">
      <alignment readingOrder="0"/>
    </xf>
    <xf borderId="7" fillId="0" fontId="9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7" fillId="6" fontId="10" numFmtId="0" xfId="0" applyAlignment="1" applyBorder="1" applyFont="1">
      <alignment horizontal="center" readingOrder="0" shrinkToFit="0" vertical="center" wrapText="1"/>
    </xf>
    <xf borderId="7" fillId="7" fontId="11" numFmtId="0" xfId="0" applyAlignment="1" applyBorder="1" applyFill="1" applyFont="1">
      <alignment horizontal="center" readingOrder="0"/>
    </xf>
    <xf borderId="7" fillId="7" fontId="9" numFmtId="0" xfId="0" applyAlignment="1" applyBorder="1" applyFont="1">
      <alignment horizontal="center" readingOrder="0" shrinkToFit="0" vertical="center" wrapText="1"/>
    </xf>
    <xf borderId="7" fillId="3" fontId="10" numFmtId="165" xfId="0" applyAlignment="1" applyBorder="1" applyFont="1" applyNumberFormat="1">
      <alignment horizontal="center" readingOrder="0" shrinkToFit="0" vertical="center" wrapText="1"/>
    </xf>
    <xf borderId="7" fillId="4" fontId="10" numFmtId="165" xfId="0" applyAlignment="1" applyBorder="1" applyFont="1" applyNumberFormat="1">
      <alignment horizontal="center" readingOrder="0" shrinkToFit="0" vertical="center" wrapText="1"/>
    </xf>
    <xf borderId="7" fillId="5" fontId="10" numFmtId="165" xfId="0" applyAlignment="1" applyBorder="1" applyFont="1" applyNumberFormat="1">
      <alignment horizontal="center" readingOrder="0" shrinkToFit="0" vertical="center" wrapText="1"/>
    </xf>
    <xf borderId="7" fillId="3" fontId="10" numFmtId="2" xfId="0" applyAlignment="1" applyBorder="1" applyFont="1" applyNumberFormat="1">
      <alignment horizontal="center" shrinkToFit="0" vertical="center" wrapText="1"/>
    </xf>
    <xf borderId="7" fillId="4" fontId="10" numFmtId="2" xfId="0" applyAlignment="1" applyBorder="1" applyFont="1" applyNumberFormat="1">
      <alignment horizontal="center" shrinkToFit="0" vertical="center" wrapText="1"/>
    </xf>
    <xf borderId="2" fillId="4" fontId="10" numFmtId="1" xfId="0" applyAlignment="1" applyBorder="1" applyFont="1" applyNumberFormat="1">
      <alignment horizontal="center" shrinkToFit="0" vertical="center" wrapText="1"/>
    </xf>
    <xf borderId="7" fillId="5" fontId="10" numFmtId="1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7" fillId="0" fontId="12" numFmtId="0" xfId="0" applyAlignment="1" applyBorder="1" applyFont="1">
      <alignment horizontal="left" readingOrder="0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7" fillId="6" fontId="13" numFmtId="0" xfId="0" applyAlignment="1" applyBorder="1" applyFont="1">
      <alignment horizontal="center" readingOrder="0" shrinkToFit="0" vertical="center" wrapText="1"/>
    </xf>
    <xf borderId="7" fillId="7" fontId="14" numFmtId="0" xfId="0" applyAlignment="1" applyBorder="1" applyFont="1">
      <alignment horizontal="center" readingOrder="0"/>
    </xf>
    <xf borderId="7" fillId="7" fontId="12" numFmtId="0" xfId="0" applyAlignment="1" applyBorder="1" applyFont="1">
      <alignment horizontal="center" readingOrder="0" shrinkToFit="0" vertical="center" wrapText="1"/>
    </xf>
    <xf borderId="7" fillId="3" fontId="13" numFmtId="165" xfId="0" applyAlignment="1" applyBorder="1" applyFont="1" applyNumberFormat="1">
      <alignment horizontal="center" readingOrder="0" shrinkToFit="0" vertical="center" wrapText="1"/>
    </xf>
    <xf borderId="7" fillId="4" fontId="13" numFmtId="165" xfId="0" applyAlignment="1" applyBorder="1" applyFont="1" applyNumberFormat="1">
      <alignment horizontal="center" readingOrder="0" shrinkToFit="0" vertical="center" wrapText="1"/>
    </xf>
    <xf borderId="7" fillId="5" fontId="13" numFmtId="165" xfId="0" applyAlignment="1" applyBorder="1" applyFont="1" applyNumberFormat="1">
      <alignment horizontal="center" readingOrder="0" shrinkToFit="0" vertical="center" wrapText="1"/>
    </xf>
    <xf borderId="7" fillId="3" fontId="12" numFmtId="2" xfId="0" applyAlignment="1" applyBorder="1" applyFont="1" applyNumberFormat="1">
      <alignment horizontal="center" shrinkToFit="0" vertical="center" wrapText="1"/>
    </xf>
    <xf borderId="7" fillId="4" fontId="12" numFmtId="2" xfId="0" applyAlignment="1" applyBorder="1" applyFont="1" applyNumberFormat="1">
      <alignment horizontal="center" shrinkToFit="0" vertical="center" wrapText="1"/>
    </xf>
    <xf borderId="2" fillId="4" fontId="12" numFmtId="1" xfId="0" applyAlignment="1" applyBorder="1" applyFont="1" applyNumberFormat="1">
      <alignment horizontal="center" shrinkToFit="0" vertical="center" wrapText="1"/>
    </xf>
    <xf borderId="7" fillId="5" fontId="12" numFmtId="2" xfId="0" applyAlignment="1" applyBorder="1" applyFont="1" applyNumberFormat="1">
      <alignment horizontal="center" shrinkToFit="0" vertical="center" wrapText="1"/>
    </xf>
    <xf borderId="7" fillId="5" fontId="12" numFmtId="1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7" fillId="6" fontId="10" numFmtId="0" xfId="0" applyAlignment="1" applyBorder="1" applyFont="1">
      <alignment horizontal="center" readingOrder="0" shrinkToFit="0" wrapText="1"/>
    </xf>
    <xf borderId="7" fillId="0" fontId="10" numFmtId="0" xfId="0" applyAlignment="1" applyBorder="1" applyFont="1">
      <alignment horizontal="center" readingOrder="0" shrinkToFit="0" wrapText="1"/>
    </xf>
    <xf borderId="7" fillId="7" fontId="9" numFmtId="0" xfId="0" applyAlignment="1" applyBorder="1" applyFont="1">
      <alignment horizontal="center" readingOrder="0" shrinkToFit="0" wrapText="1"/>
    </xf>
    <xf borderId="7" fillId="5" fontId="10" numFmtId="2" xfId="0" applyAlignment="1" applyBorder="1" applyFont="1" applyNumberFormat="1">
      <alignment horizontal="center" shrinkToFit="0" vertical="center" wrapText="1"/>
    </xf>
    <xf borderId="7" fillId="4" fontId="10" numFmtId="1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1" numFmtId="0" xfId="0" applyFont="1"/>
    <xf borderId="0" fillId="0" fontId="3" numFmtId="1" xfId="0" applyFont="1" applyNumberFormat="1"/>
    <xf borderId="7" fillId="8" fontId="9" numFmtId="0" xfId="0" applyAlignment="1" applyBorder="1" applyFill="1" applyFont="1">
      <alignment readingOrder="0"/>
    </xf>
    <xf borderId="7" fillId="8" fontId="10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7" fillId="8" fontId="9" numFmtId="0" xfId="0" applyAlignment="1" applyBorder="1" applyFont="1">
      <alignment horizontal="center" readingOrder="0" shrinkToFit="0" vertical="center" wrapText="1"/>
    </xf>
    <xf borderId="7" fillId="8" fontId="10" numFmtId="165" xfId="0" applyAlignment="1" applyBorder="1" applyFont="1" applyNumberFormat="1">
      <alignment horizontal="center" readingOrder="0" shrinkToFit="0" vertical="center" wrapText="1"/>
    </xf>
    <xf borderId="7" fillId="8" fontId="10" numFmtId="2" xfId="0" applyAlignment="1" applyBorder="1" applyFont="1" applyNumberFormat="1">
      <alignment horizontal="center" shrinkToFit="0" vertical="center" wrapText="1"/>
    </xf>
    <xf borderId="7" fillId="8" fontId="10" numFmtId="1" xfId="0" applyAlignment="1" applyBorder="1" applyFont="1" applyNumberFormat="1">
      <alignment horizontal="center" shrinkToFit="0" vertical="center" wrapText="1"/>
    </xf>
    <xf borderId="7" fillId="8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vertical="center" wrapText="1"/>
    </xf>
    <xf borderId="2" fillId="2" fontId="16" numFmtId="0" xfId="0" applyAlignment="1" applyBorder="1" applyFont="1">
      <alignment readingOrder="0"/>
    </xf>
    <xf borderId="7" fillId="8" fontId="12" numFmtId="0" xfId="0" applyAlignment="1" applyBorder="1" applyFont="1">
      <alignment horizontal="left" readingOrder="0" shrinkToFit="0" vertical="center" wrapText="1"/>
    </xf>
    <xf borderId="7" fillId="8" fontId="13" numFmtId="0" xfId="0" applyAlignment="1" applyBorder="1" applyFont="1">
      <alignment horizontal="center" readingOrder="0" shrinkToFit="0" vertical="center" wrapText="1"/>
    </xf>
    <xf borderId="7" fillId="8" fontId="14" numFmtId="0" xfId="0" applyAlignment="1" applyBorder="1" applyFont="1">
      <alignment horizontal="center" readingOrder="0"/>
    </xf>
    <xf borderId="7" fillId="8" fontId="12" numFmtId="0" xfId="0" applyAlignment="1" applyBorder="1" applyFont="1">
      <alignment horizontal="center" readingOrder="0" shrinkToFit="0" vertical="center" wrapText="1"/>
    </xf>
    <xf borderId="7" fillId="8" fontId="13" numFmtId="2" xfId="0" applyAlignment="1" applyBorder="1" applyFont="1" applyNumberFormat="1">
      <alignment horizontal="center" shrinkToFit="0" vertical="center" wrapText="1"/>
    </xf>
    <xf borderId="2" fillId="8" fontId="13" numFmtId="1" xfId="0" applyAlignment="1" applyBorder="1" applyFont="1" applyNumberFormat="1">
      <alignment horizontal="center" shrinkToFit="0" vertical="center" wrapText="1"/>
    </xf>
    <xf borderId="7" fillId="8" fontId="9" numFmtId="0" xfId="0" applyAlignment="1" applyBorder="1" applyFont="1">
      <alignment horizontal="left" readingOrder="0" shrinkToFit="0" vertical="center" wrapText="1"/>
    </xf>
    <xf borderId="7" fillId="8" fontId="10" numFmtId="0" xfId="0" applyAlignment="1" applyBorder="1" applyFont="1">
      <alignment horizontal="center" readingOrder="0" vertical="center"/>
    </xf>
    <xf borderId="7" fillId="8" fontId="11" numFmtId="0" xfId="0" applyAlignment="1" applyBorder="1" applyFont="1">
      <alignment horizontal="center" readingOrder="0"/>
    </xf>
    <xf borderId="2" fillId="8" fontId="10" numFmtId="1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18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readingOrder="0"/>
    </xf>
    <xf borderId="7" fillId="0" fontId="19" numFmtId="0" xfId="0" applyAlignment="1" applyBorder="1" applyFont="1">
      <alignment readingOrder="0" shrinkToFit="0" wrapText="1"/>
    </xf>
    <xf borderId="7" fillId="0" fontId="20" numFmtId="0" xfId="0" applyAlignment="1" applyBorder="1" applyFont="1">
      <alignment horizontal="center" readingOrder="0" shrinkToFit="0" wrapText="1"/>
    </xf>
    <xf borderId="7" fillId="0" fontId="20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7" fillId="6" fontId="20" numFmtId="0" xfId="0" applyAlignment="1" applyBorder="1" applyFont="1">
      <alignment horizontal="center" readingOrder="0" shrinkToFit="0" wrapText="1"/>
    </xf>
    <xf borderId="7" fillId="7" fontId="11" numFmtId="0" xfId="0" applyAlignment="1" applyBorder="1" applyFont="1">
      <alignment horizontal="center" readingOrder="0" vertical="bottom"/>
    </xf>
    <xf borderId="7" fillId="7" fontId="19" numFmtId="0" xfId="0" applyAlignment="1" applyBorder="1" applyFont="1">
      <alignment horizontal="center" readingOrder="0" shrinkToFit="0" wrapText="1"/>
    </xf>
    <xf borderId="7" fillId="3" fontId="20" numFmtId="165" xfId="0" applyAlignment="1" applyBorder="1" applyFont="1" applyNumberFormat="1">
      <alignment horizontal="center" readingOrder="0" shrinkToFit="0" wrapText="1"/>
    </xf>
    <xf borderId="7" fillId="4" fontId="20" numFmtId="165" xfId="0" applyAlignment="1" applyBorder="1" applyFont="1" applyNumberFormat="1">
      <alignment horizontal="center" readingOrder="0" shrinkToFit="0" wrapText="1"/>
    </xf>
    <xf borderId="7" fillId="5" fontId="20" numFmtId="165" xfId="0" applyAlignment="1" applyBorder="1" applyFont="1" applyNumberFormat="1">
      <alignment horizontal="center" readingOrder="0" shrinkToFit="0" wrapText="1"/>
    </xf>
    <xf borderId="7" fillId="2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" fillId="0" fontId="19" numFmtId="0" xfId="0" applyAlignment="1" applyBorder="1" applyFont="1">
      <alignment horizontal="left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8" fontId="20" numFmtId="0" xfId="0" applyAlignment="1" applyBorder="1" applyFont="1">
      <alignment horizontal="center" readingOrder="0" shrinkToFit="0" vertical="center" wrapText="1"/>
    </xf>
    <xf borderId="7" fillId="8" fontId="20" numFmtId="0" xfId="0" applyAlignment="1" applyBorder="1" applyFont="1">
      <alignment horizontal="center" readingOrder="0" shrinkToFit="0" vertical="center" wrapText="1"/>
    </xf>
    <xf borderId="7" fillId="8" fontId="3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7" fillId="8" fontId="11" numFmtId="0" xfId="0" applyAlignment="1" applyBorder="1" applyFont="1">
      <alignment horizontal="center" readingOrder="0" vertical="center"/>
    </xf>
    <xf borderId="7" fillId="8" fontId="19" numFmtId="0" xfId="0" applyAlignment="1" applyBorder="1" applyFont="1">
      <alignment horizontal="center" readingOrder="0" shrinkToFit="0" vertical="center" wrapText="1"/>
    </xf>
    <xf borderId="7" fillId="8" fontId="20" numFmtId="165" xfId="0" applyAlignment="1" applyBorder="1" applyFont="1" applyNumberFormat="1">
      <alignment horizontal="center" readingOrder="0" shrinkToFit="0" vertical="center" wrapText="1"/>
    </xf>
    <xf borderId="7" fillId="8" fontId="3" numFmtId="167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7" fillId="6" fontId="20" numFmtId="0" xfId="0" applyAlignment="1" applyBorder="1" applyFont="1">
      <alignment horizontal="center" readingOrder="0" shrinkToFit="0" vertical="center" wrapText="1"/>
    </xf>
    <xf borderId="7" fillId="7" fontId="11" numFmtId="0" xfId="0" applyAlignment="1" applyBorder="1" applyFont="1">
      <alignment horizontal="center" readingOrder="0" vertical="center"/>
    </xf>
    <xf borderId="7" fillId="7" fontId="19" numFmtId="0" xfId="0" applyAlignment="1" applyBorder="1" applyFont="1">
      <alignment horizontal="center" readingOrder="0" shrinkToFit="0" vertical="center" wrapText="1"/>
    </xf>
    <xf borderId="7" fillId="3" fontId="20" numFmtId="165" xfId="0" applyAlignment="1" applyBorder="1" applyFont="1" applyNumberFormat="1">
      <alignment horizontal="center" readingOrder="0" shrinkToFit="0" vertical="center" wrapText="1"/>
    </xf>
    <xf borderId="7" fillId="4" fontId="20" numFmtId="165" xfId="0" applyAlignment="1" applyBorder="1" applyFont="1" applyNumberFormat="1">
      <alignment horizontal="center" readingOrder="0" shrinkToFit="0" vertical="center" wrapText="1"/>
    </xf>
    <xf borderId="7" fillId="5" fontId="20" numFmtId="165" xfId="0" applyAlignment="1" applyBorder="1" applyFont="1" applyNumberFormat="1">
      <alignment horizontal="center" readingOrder="0" shrinkToFit="0" vertical="center" wrapText="1"/>
    </xf>
    <xf borderId="7" fillId="0" fontId="3" numFmtId="167" xfId="0" applyAlignment="1" applyBorder="1" applyFont="1" applyNumberFormat="1">
      <alignment horizontal="center" vertical="center"/>
    </xf>
    <xf borderId="7" fillId="9" fontId="3" numFmtId="167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7" fillId="10" fontId="3" numFmtId="167" xfId="0" applyAlignment="1" applyBorder="1" applyFill="1" applyFont="1" applyNumberFormat="1">
      <alignment horizontal="center" vertical="center"/>
    </xf>
    <xf borderId="5" fillId="0" fontId="19" numFmtId="0" xfId="0" applyAlignment="1" applyBorder="1" applyFont="1">
      <alignment horizontal="left" readingOrder="0" shrinkToFit="0" vertical="center" wrapText="1"/>
    </xf>
    <xf borderId="5" fillId="0" fontId="20" numFmtId="0" xfId="0" applyAlignment="1" applyBorder="1" applyFont="1">
      <alignment horizontal="center" readingOrder="0" shrinkToFit="0" wrapText="1"/>
    </xf>
    <xf borderId="5" fillId="0" fontId="20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readingOrder="0" shrinkToFit="0" vertical="center" wrapText="1"/>
    </xf>
    <xf borderId="6" fillId="6" fontId="20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horizontal="center" readingOrder="0" vertical="center"/>
    </xf>
    <xf borderId="6" fillId="7" fontId="11" numFmtId="0" xfId="0" applyAlignment="1" applyBorder="1" applyFont="1">
      <alignment horizontal="center" readingOrder="0" vertical="bottom"/>
    </xf>
    <xf borderId="6" fillId="7" fontId="19" numFmtId="0" xfId="0" applyAlignment="1" applyBorder="1" applyFont="1">
      <alignment horizontal="center" readingOrder="0" shrinkToFit="0" wrapText="1"/>
    </xf>
    <xf borderId="6" fillId="3" fontId="20" numFmtId="165" xfId="0" applyAlignment="1" applyBorder="1" applyFont="1" applyNumberFormat="1">
      <alignment horizontal="center" readingOrder="0" shrinkToFit="0" wrapText="1"/>
    </xf>
    <xf borderId="6" fillId="4" fontId="20" numFmtId="165" xfId="0" applyAlignment="1" applyBorder="1" applyFont="1" applyNumberFormat="1">
      <alignment horizontal="center" readingOrder="0" shrinkToFit="0" wrapText="1"/>
    </xf>
    <xf borderId="6" fillId="5" fontId="20" numFmtId="165" xfId="0" applyAlignment="1" applyBorder="1" applyFont="1" applyNumberFormat="1">
      <alignment horizontal="center" readingOrder="0" shrinkToFit="0" wrapText="1"/>
    </xf>
    <xf borderId="6" fillId="3" fontId="10" numFmtId="2" xfId="0" applyAlignment="1" applyBorder="1" applyFont="1" applyNumberFormat="1">
      <alignment horizontal="center" shrinkToFit="0" vertical="center" wrapText="1"/>
    </xf>
    <xf borderId="6" fillId="4" fontId="10" numFmtId="2" xfId="0" applyAlignment="1" applyBorder="1" applyFont="1" applyNumberFormat="1">
      <alignment horizontal="center" shrinkToFit="0" vertical="center" wrapText="1"/>
    </xf>
    <xf borderId="6" fillId="4" fontId="10" numFmtId="1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7" fontId="21" numFmtId="0" xfId="0" applyAlignment="1" applyBorder="1" applyFont="1">
      <alignment horizontal="center" readingOrder="0" vertical="center"/>
    </xf>
    <xf borderId="7" fillId="7" fontId="22" numFmtId="0" xfId="0" applyAlignment="1" applyBorder="1" applyFont="1">
      <alignment horizontal="center" readingOrder="0" shrinkToFit="0" vertical="center" wrapText="1"/>
    </xf>
    <xf borderId="0" fillId="4" fontId="3" numFmtId="2" xfId="0" applyAlignment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2" fillId="11" fontId="1" numFmtId="0" xfId="0" applyAlignment="1" applyBorder="1" applyFill="1" applyFont="1">
      <alignment horizontal="left" readingOrder="0" shrinkToFit="0" vertical="center" wrapText="1"/>
    </xf>
    <xf borderId="7" fillId="0" fontId="1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readingOrder="0" shrinkToFit="0" wrapText="1"/>
    </xf>
    <xf borderId="7" fillId="0" fontId="23" numFmtId="0" xfId="0" applyAlignment="1" applyBorder="1" applyFont="1">
      <alignment horizontal="center" shrinkToFit="0" wrapText="1"/>
    </xf>
    <xf borderId="7" fillId="6" fontId="6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shrinkToFit="0" wrapText="1"/>
    </xf>
    <xf borderId="7" fillId="7" fontId="6" numFmtId="0" xfId="0" applyAlignment="1" applyBorder="1" applyFont="1">
      <alignment horizontal="center" readingOrder="0" shrinkToFit="0" wrapText="1"/>
    </xf>
    <xf borderId="7" fillId="7" fontId="22" numFmtId="0" xfId="0" applyAlignment="1" applyBorder="1" applyFont="1">
      <alignment horizontal="center" readingOrder="0" shrinkToFit="0" wrapText="1"/>
    </xf>
    <xf borderId="7" fillId="3" fontId="3" numFmtId="165" xfId="0" applyAlignment="1" applyBorder="1" applyFont="1" applyNumberFormat="1">
      <alignment horizontal="center" readingOrder="0" shrinkToFit="0" wrapText="1"/>
    </xf>
    <xf borderId="7" fillId="4" fontId="3" numFmtId="166" xfId="0" applyAlignment="1" applyBorder="1" applyFont="1" applyNumberFormat="1">
      <alignment horizontal="center" readingOrder="0" shrinkToFit="0" wrapText="1"/>
    </xf>
    <xf borderId="7" fillId="4" fontId="3" numFmtId="165" xfId="0" applyAlignment="1" applyBorder="1" applyFont="1" applyNumberFormat="1">
      <alignment horizontal="center" readingOrder="0" shrinkToFit="0" wrapText="1"/>
    </xf>
    <xf borderId="9" fillId="0" fontId="3" numFmtId="0" xfId="0" applyBorder="1" applyFont="1"/>
    <xf borderId="7" fillId="0" fontId="23" numFmtId="0" xfId="0" applyAlignment="1" applyBorder="1" applyFont="1">
      <alignment horizontal="center" readingOrder="0" shrinkToFit="0" wrapText="1"/>
    </xf>
    <xf borderId="7" fillId="0" fontId="6" numFmtId="165" xfId="0" applyAlignment="1" applyBorder="1" applyFont="1" applyNumberFormat="1">
      <alignment horizontal="center" readingOrder="0" shrinkToFit="0" wrapText="1"/>
    </xf>
    <xf borderId="7" fillId="7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7" fillId="6" fontId="6" numFmtId="2" xfId="0" applyAlignment="1" applyBorder="1" applyFont="1" applyNumberFormat="1">
      <alignment horizontal="center" readingOrder="0" shrinkToFit="0" vertical="center" wrapText="1"/>
    </xf>
    <xf borderId="7" fillId="0" fontId="6" numFmtId="165" xfId="0" applyAlignment="1" applyBorder="1" applyFont="1" applyNumberFormat="1">
      <alignment horizontal="center" readingOrder="0" shrinkToFit="0" vertical="center" wrapText="1"/>
    </xf>
    <xf borderId="7" fillId="7" fontId="6" numFmtId="2" xfId="0" applyAlignment="1" applyBorder="1" applyFont="1" applyNumberFormat="1">
      <alignment horizontal="center" readingOrder="0" shrinkToFit="0" vertical="center" wrapText="1"/>
    </xf>
    <xf borderId="7" fillId="0" fontId="6" numFmtId="2" xfId="0" applyAlignment="1" applyBorder="1" applyFont="1" applyNumberFormat="1">
      <alignment horizontal="center" readingOrder="0" shrinkToFit="0" vertical="center" wrapText="1"/>
    </xf>
    <xf borderId="7" fillId="7" fontId="22" numFmtId="2" xfId="0" applyAlignment="1" applyBorder="1" applyFont="1" applyNumberFormat="1">
      <alignment horizontal="center" readingOrder="0" shrinkToFit="0" vertical="center" wrapText="1"/>
    </xf>
    <xf borderId="7" fillId="7" fontId="6" numFmtId="2" xfId="0" applyAlignment="1" applyBorder="1" applyFont="1" applyNumberFormat="1">
      <alignment horizontal="center" readingOrder="0" shrinkToFit="0" wrapText="1"/>
    </xf>
    <xf borderId="7" fillId="7" fontId="22" numFmtId="2" xfId="0" applyAlignment="1" applyBorder="1" applyFont="1" applyNumberFormat="1">
      <alignment horizontal="center" readingOrder="0" shrinkToFit="0" wrapText="1"/>
    </xf>
    <xf borderId="7" fillId="0" fontId="6" numFmtId="1" xfId="0" applyAlignment="1" applyBorder="1" applyFont="1" applyNumberFormat="1">
      <alignment horizontal="center" readingOrder="0" shrinkToFit="0" wrapText="1"/>
    </xf>
    <xf borderId="7" fillId="0" fontId="6" numFmtId="167" xfId="0" applyAlignment="1" applyBorder="1" applyFont="1" applyNumberFormat="1">
      <alignment horizontal="center" readingOrder="0" shrinkToFit="0" wrapText="1"/>
    </xf>
    <xf borderId="7" fillId="2" fontId="3" numFmtId="0" xfId="0" applyAlignment="1" applyBorder="1" applyFont="1">
      <alignment horizontal="center" readingOrder="0" shrinkToFit="0" vertical="center" wrapText="1"/>
    </xf>
    <xf borderId="7" fillId="0" fontId="3" numFmtId="167" xfId="0" applyAlignment="1" applyBorder="1" applyFont="1" applyNumberFormat="1">
      <alignment horizontal="center" shrinkToFit="0" vertical="center" wrapText="1"/>
    </xf>
    <xf borderId="1" fillId="2" fontId="24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4" fontId="24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7" fillId="2" fontId="24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7" fillId="0" fontId="24" numFmtId="0" xfId="0" applyAlignment="1" applyBorder="1" applyFont="1">
      <alignment horizontal="center" readingOrder="0" shrinkToFit="0" vertical="center" wrapText="1"/>
    </xf>
    <xf borderId="7" fillId="0" fontId="27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7" fillId="0" fontId="28" numFmtId="0" xfId="0" applyAlignment="1" applyBorder="1" applyFont="1">
      <alignment horizontal="center" readingOrder="0" shrinkToFit="0" vertical="center" wrapText="1"/>
    </xf>
    <xf borderId="7" fillId="0" fontId="27" numFmtId="4" xfId="0" applyAlignment="1" applyBorder="1" applyFont="1" applyNumberFormat="1">
      <alignment horizontal="center" readingOrder="0" shrinkToFit="0" vertical="center" wrapText="1"/>
    </xf>
    <xf borderId="7" fillId="0" fontId="29" numFmtId="165" xfId="0" applyAlignment="1" applyBorder="1" applyFont="1" applyNumberFormat="1">
      <alignment horizontal="center" readingOrder="0" shrinkToFit="0" vertical="center" wrapText="1"/>
    </xf>
    <xf borderId="7" fillId="8" fontId="2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7" fillId="0" fontId="27" numFmtId="167" xfId="0" applyAlignment="1" applyBorder="1" applyFont="1" applyNumberFormat="1">
      <alignment horizontal="center" readingOrder="0" shrinkToFit="0" vertical="center" wrapText="1"/>
    </xf>
    <xf borderId="7" fillId="3" fontId="27" numFmtId="2" xfId="0" applyAlignment="1" applyBorder="1" applyFont="1" applyNumberFormat="1">
      <alignment horizontal="center" readingOrder="0" shrinkToFit="0" vertical="center" wrapText="1"/>
    </xf>
    <xf borderId="7" fillId="4" fontId="28" numFmtId="2" xfId="0" applyAlignment="1" applyBorder="1" applyFont="1" applyNumberFormat="1">
      <alignment horizontal="center" readingOrder="0" shrinkToFit="0" vertical="center" wrapText="1"/>
    </xf>
    <xf borderId="7" fillId="4" fontId="27" numFmtId="1" xfId="0" applyAlignment="1" applyBorder="1" applyFont="1" applyNumberFormat="1">
      <alignment horizontal="center" readingOrder="0" shrinkToFit="0" vertical="center" wrapText="1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25" numFmtId="0" xfId="0" applyAlignment="1" applyBorder="1" applyFont="1">
      <alignment horizontal="center" readingOrder="0" vertical="center"/>
    </xf>
    <xf borderId="7" fillId="0" fontId="30" numFmtId="1" xfId="0" applyAlignment="1" applyBorder="1" applyFont="1" applyNumberFormat="1">
      <alignment horizontal="center" readingOrder="0" shrinkToFit="0" vertical="center" wrapText="1"/>
    </xf>
    <xf borderId="7" fillId="0" fontId="30" numFmtId="167" xfId="0" applyAlignment="1" applyBorder="1" applyFont="1" applyNumberFormat="1">
      <alignment horizontal="center" readingOrder="0" shrinkToFit="0" vertical="center" wrapText="1"/>
    </xf>
    <xf borderId="7" fillId="0" fontId="30" numFmtId="0" xfId="0" applyAlignment="1" applyBorder="1" applyFont="1">
      <alignment horizontal="center" readingOrder="0" shrinkToFit="0" vertical="center" wrapText="1"/>
    </xf>
    <xf borderId="7" fillId="0" fontId="26" numFmtId="2" xfId="0" applyAlignment="1" applyBorder="1" applyFont="1" applyNumberFormat="1">
      <alignment horizontal="center" readingOrder="0" shrinkToFit="0" vertical="center" wrapText="1"/>
    </xf>
    <xf borderId="7" fillId="0" fontId="26" numFmtId="165" xfId="0" applyAlignment="1" applyBorder="1" applyFont="1" applyNumberFormat="1">
      <alignment horizontal="center" readingOrder="0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7" fillId="3" fontId="32" numFmtId="2" xfId="0" applyAlignment="1" applyBorder="1" applyFont="1" applyNumberFormat="1">
      <alignment horizontal="center" readingOrder="0" shrinkToFit="0" vertical="center" wrapText="1"/>
    </xf>
    <xf borderId="7" fillId="4" fontId="33" numFmtId="2" xfId="0" applyAlignment="1" applyBorder="1" applyFont="1" applyNumberFormat="1">
      <alignment horizontal="center" readingOrder="0" shrinkToFit="0" vertical="center" wrapText="1"/>
    </xf>
    <xf borderId="7" fillId="4" fontId="32" numFmtId="1" xfId="0" applyAlignment="1" applyBorder="1" applyFont="1" applyNumberFormat="1">
      <alignment horizontal="center" readingOrder="0" shrinkToFit="0" vertical="center" wrapText="1"/>
    </xf>
    <xf borderId="7" fillId="0" fontId="34" numFmtId="0" xfId="0" applyAlignment="1" applyBorder="1" applyFont="1">
      <alignment horizontal="center" readingOrder="0" shrinkToFit="0" vertical="center" wrapText="1"/>
    </xf>
    <xf borderId="7" fillId="0" fontId="26" numFmtId="2" xfId="0" applyAlignment="1" applyBorder="1" applyFont="1" applyNumberFormat="1">
      <alignment horizontal="center" shrinkToFit="0" vertical="center" wrapText="1"/>
    </xf>
    <xf borderId="2" fillId="2" fontId="24" numFmtId="0" xfId="0" applyAlignment="1" applyBorder="1" applyFont="1">
      <alignment horizontal="left" readingOrder="0" shrinkToFit="0" vertical="center" wrapText="1"/>
    </xf>
    <xf borderId="3" fillId="2" fontId="24" numFmtId="0" xfId="0" applyAlignment="1" applyBorder="1" applyFont="1">
      <alignment horizontal="left" readingOrder="0" shrinkToFit="0" vertical="center" wrapText="1"/>
    </xf>
    <xf borderId="4" fillId="2" fontId="24" numFmtId="0" xfId="0" applyAlignment="1" applyBorder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7" fillId="0" fontId="28" numFmtId="165" xfId="0" applyAlignment="1" applyBorder="1" applyFont="1" applyNumberFormat="1">
      <alignment horizontal="center" readingOrder="0" shrinkToFit="0" vertical="center" wrapText="1"/>
    </xf>
    <xf borderId="7" fillId="8" fontId="35" numFmtId="0" xfId="0" applyAlignment="1" applyBorder="1" applyFont="1">
      <alignment horizontal="center" readingOrder="0" shrinkToFit="0" vertical="center" wrapText="1"/>
    </xf>
    <xf borderId="7" fillId="0" fontId="35" numFmtId="167" xfId="0" applyAlignment="1" applyBorder="1" applyFont="1" applyNumberFormat="1">
      <alignment horizontal="center" readingOrder="0" shrinkToFit="0" vertical="center" wrapText="1"/>
    </xf>
    <xf borderId="7" fillId="0" fontId="25" numFmtId="1" xfId="0" applyAlignment="1" applyBorder="1" applyFont="1" applyNumberFormat="1">
      <alignment horizontal="center" vertical="center"/>
    </xf>
    <xf borderId="7" fillId="0" fontId="25" numFmtId="1" xfId="0" applyAlignment="1" applyBorder="1" applyFont="1" applyNumberFormat="1">
      <alignment horizontal="center" readingOrder="0" shrinkToFit="0" vertical="center" wrapText="1"/>
    </xf>
    <xf borderId="0" fillId="0" fontId="26" numFmtId="2" xfId="0" applyAlignment="1" applyFont="1" applyNumberFormat="1">
      <alignment horizontal="center" readingOrder="0" shrinkToFit="0" vertical="center" wrapText="1"/>
    </xf>
    <xf borderId="0" fillId="0" fontId="26" numFmtId="1" xfId="0" applyAlignment="1" applyFont="1" applyNumberFormat="1">
      <alignment horizontal="center" readingOrder="0" shrinkToFit="0" vertical="center" wrapText="1"/>
    </xf>
    <xf borderId="0" fillId="11" fontId="1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10" fillId="0" fontId="36" numFmtId="0" xfId="0" applyAlignment="1" applyBorder="1" applyFont="1">
      <alignment readingOrder="0" vertical="center"/>
    </xf>
    <xf borderId="2" fillId="0" fontId="36" numFmtId="0" xfId="0" applyAlignment="1" applyBorder="1" applyFont="1">
      <alignment horizontal="center" readingOrder="0" vertical="center"/>
    </xf>
    <xf borderId="7" fillId="11" fontId="12" numFmtId="0" xfId="0" applyAlignment="1" applyBorder="1" applyFont="1">
      <alignment horizontal="center" readingOrder="0" vertical="center"/>
    </xf>
    <xf borderId="7" fillId="12" fontId="12" numFmtId="0" xfId="0" applyAlignment="1" applyBorder="1" applyFill="1" applyFont="1">
      <alignment horizontal="center" readingOrder="0" vertical="center"/>
    </xf>
    <xf borderId="2" fillId="11" fontId="12" numFmtId="0" xfId="0" applyAlignment="1" applyBorder="1" applyFont="1">
      <alignment horizontal="center" readingOrder="0" vertical="center"/>
    </xf>
    <xf borderId="7" fillId="13" fontId="12" numFmtId="0" xfId="0" applyAlignment="1" applyBorder="1" applyFill="1" applyFont="1">
      <alignment horizontal="center" readingOrder="0" vertical="center"/>
    </xf>
    <xf borderId="7" fillId="14" fontId="12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5" fillId="0" fontId="37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center" shrinkToFit="0" vertical="center" wrapText="1"/>
    </xf>
    <xf borderId="5" fillId="0" fontId="37" numFmtId="0" xfId="0" applyAlignment="1" applyBorder="1" applyFont="1">
      <alignment horizontal="center" shrinkToFit="0" vertical="center" wrapText="1"/>
    </xf>
    <xf borderId="11" fillId="0" fontId="37" numFmtId="0" xfId="0" applyAlignment="1" applyBorder="1" applyFont="1">
      <alignment horizontal="center" readingOrder="0" shrinkToFit="0" vertical="center" wrapText="1"/>
    </xf>
    <xf borderId="12" fillId="0" fontId="25" numFmtId="0" xfId="0" applyBorder="1" applyFont="1"/>
    <xf borderId="12" fillId="0" fontId="37" numFmtId="0" xfId="0" applyAlignment="1" applyBorder="1" applyFont="1">
      <alignment horizontal="center" readingOrder="0" shrinkToFit="0" vertical="center" wrapText="1"/>
    </xf>
    <xf borderId="12" fillId="0" fontId="38" numFmtId="0" xfId="0" applyAlignment="1" applyBorder="1" applyFont="1">
      <alignment horizontal="center" readingOrder="0" shrinkToFit="0" vertical="center" wrapText="1"/>
    </xf>
    <xf borderId="7" fillId="0" fontId="38" numFmtId="0" xfId="0" applyAlignment="1" applyBorder="1" applyFont="1">
      <alignment horizontal="center" readingOrder="0" shrinkToFit="0" vertical="center" wrapText="1"/>
    </xf>
    <xf borderId="7" fillId="0" fontId="36" numFmtId="0" xfId="0" applyAlignment="1" applyBorder="1" applyFont="1">
      <alignment horizontal="center" readingOrder="0" shrinkToFit="0" vertical="center" wrapText="1"/>
    </xf>
    <xf borderId="7" fillId="0" fontId="31" numFmtId="0" xfId="0" applyAlignment="1" applyBorder="1" applyFont="1">
      <alignment horizontal="center" readingOrder="0" shrinkToFit="0" vertical="center" wrapText="1"/>
    </xf>
    <xf borderId="3" fillId="0" fontId="38" numFmtId="0" xfId="0" applyAlignment="1" applyBorder="1" applyFont="1">
      <alignment horizontal="center" shrinkToFit="0" vertical="center" wrapText="1"/>
    </xf>
    <xf borderId="3" fillId="0" fontId="38" numFmtId="0" xfId="0" applyAlignment="1" applyBorder="1" applyFont="1">
      <alignment horizontal="center" readingOrder="0" shrinkToFit="0" vertical="center" wrapText="1"/>
    </xf>
    <xf borderId="7" fillId="0" fontId="39" numFmtId="0" xfId="0" applyAlignment="1" applyBorder="1" applyFont="1">
      <alignment horizontal="center" readingOrder="0" shrinkToFit="0" vertical="center" wrapText="1"/>
    </xf>
    <xf borderId="3" fillId="0" fontId="39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7" fillId="15" fontId="3" numFmtId="0" xfId="0" applyAlignment="1" applyBorder="1" applyFill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left" readingOrder="0" shrinkToFit="0" vertical="center" wrapText="1"/>
    </xf>
    <xf borderId="10" fillId="0" fontId="2" numFmtId="0" xfId="0" applyBorder="1" applyFont="1"/>
    <xf borderId="0" fillId="0" fontId="37" numFmtId="0" xfId="0" applyAlignment="1" applyFont="1">
      <alignment horizontal="center" readingOrder="0" shrinkToFit="0" vertical="center" wrapText="1"/>
    </xf>
    <xf borderId="10" fillId="0" fontId="37" numFmtId="0" xfId="0" applyAlignment="1" applyBorder="1" applyFont="1">
      <alignment horizontal="center" shrinkToFit="0" vertical="center" wrapText="1"/>
    </xf>
    <xf borderId="10" fillId="0" fontId="40" numFmtId="0" xfId="0" applyAlignment="1" applyBorder="1" applyFont="1">
      <alignment horizontal="center" readingOrder="0" shrinkToFit="0" vertical="center" wrapText="1"/>
    </xf>
    <xf borderId="10" fillId="0" fontId="37" numFmtId="0" xfId="0" applyAlignment="1" applyBorder="1" applyFont="1">
      <alignment horizontal="center" readingOrder="0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2" fillId="12" fontId="31" numFmtId="0" xfId="0" applyAlignment="1" applyBorder="1" applyFont="1">
      <alignment horizontal="center" readingOrder="0" shrinkToFit="0" vertical="center" wrapText="1"/>
    </xf>
    <xf borderId="2" fillId="13" fontId="31" numFmtId="0" xfId="0" applyAlignment="1" applyBorder="1" applyFont="1">
      <alignment horizontal="center" readingOrder="0" shrinkToFit="0" vertical="center" wrapText="1"/>
    </xf>
    <xf borderId="2" fillId="16" fontId="31" numFmtId="0" xfId="0" applyAlignment="1" applyBorder="1" applyFill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17" fontId="31" numFmtId="0" xfId="0" applyAlignment="1" applyFill="1" applyFont="1">
      <alignment horizontal="center" readingOrder="0" shrinkToFit="0" vertical="center" wrapText="1"/>
    </xf>
    <xf borderId="2" fillId="0" fontId="31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7" fillId="0" fontId="41" numFmtId="0" xfId="0" applyAlignment="1" applyBorder="1" applyFont="1">
      <alignment horizontal="center" readingOrder="0" shrinkToFit="0" vertical="center" wrapText="1"/>
    </xf>
    <xf borderId="7" fillId="0" fontId="42" numFmtId="0" xfId="0" applyAlignment="1" applyBorder="1" applyFont="1">
      <alignment horizontal="center" readingOrder="0" shrinkToFit="0" vertical="center" wrapText="1"/>
    </xf>
    <xf borderId="7" fillId="0" fontId="43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shrinkToFit="0" vertical="center" wrapText="1"/>
    </xf>
    <xf borderId="8" fillId="0" fontId="44" numFmtId="0" xfId="0" applyAlignment="1" applyBorder="1" applyFont="1">
      <alignment horizontal="center" shrinkToFit="0" vertical="center" wrapText="1"/>
    </xf>
    <xf borderId="9" fillId="0" fontId="45" numFmtId="164" xfId="0" applyAlignment="1" applyBorder="1" applyFont="1" applyNumberFormat="1">
      <alignment horizontal="center" shrinkToFit="0" vertical="center" wrapText="1"/>
    </xf>
    <xf borderId="9" fillId="0" fontId="3" numFmtId="164" xfId="0" applyAlignment="1" applyBorder="1" applyFont="1" applyNumberFormat="1">
      <alignment horizontal="center" shrinkToFit="0" vertical="center" wrapText="1"/>
    </xf>
    <xf borderId="7" fillId="0" fontId="46" numFmtId="1" xfId="0" applyAlignment="1" applyBorder="1" applyFont="1" applyNumberFormat="1">
      <alignment horizontal="center" shrinkToFit="0" vertical="center" wrapText="1"/>
    </xf>
    <xf borderId="7" fillId="0" fontId="46" numFmtId="164" xfId="0" applyAlignment="1" applyBorder="1" applyFont="1" applyNumberFormat="1">
      <alignment horizontal="center" shrinkToFit="0" vertical="center" wrapText="1"/>
    </xf>
    <xf borderId="7" fillId="0" fontId="47" numFmtId="165" xfId="0" applyAlignment="1" applyBorder="1" applyFont="1" applyNumberFormat="1">
      <alignment horizontal="center" shrinkToFit="0" vertical="center" wrapText="1"/>
    </xf>
    <xf borderId="7" fillId="0" fontId="48" numFmtId="165" xfId="0" applyAlignment="1" applyBorder="1" applyFont="1" applyNumberFormat="1">
      <alignment horizontal="center" shrinkToFit="0" vertical="center" wrapText="1"/>
    </xf>
    <xf borderId="7" fillId="0" fontId="1" numFmtId="165" xfId="0" applyAlignment="1" applyBorder="1" applyFont="1" applyNumberFormat="1">
      <alignment horizontal="center" shrinkToFit="0" vertical="center" wrapText="1"/>
    </xf>
    <xf borderId="4" fillId="0" fontId="31" numFmtId="0" xfId="0" applyAlignment="1" applyBorder="1" applyFont="1">
      <alignment horizontal="center" shrinkToFit="0" vertical="center" wrapText="1"/>
    </xf>
    <xf borderId="7" fillId="0" fontId="49" numFmtId="0" xfId="0" applyAlignment="1" applyBorder="1" applyFont="1">
      <alignment horizontal="center" readingOrder="0" shrinkToFit="0" vertical="center" wrapText="1"/>
    </xf>
    <xf borderId="7" fillId="0" fontId="50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13" fillId="0" fontId="44" numFmtId="0" xfId="0" applyAlignment="1" applyBorder="1" applyFont="1">
      <alignment horizontal="center" readingOrder="0" shrinkToFit="0" vertical="center" wrapText="1"/>
    </xf>
    <xf borderId="14" fillId="0" fontId="3" numFmtId="164" xfId="0" applyAlignment="1" applyBorder="1" applyFont="1" applyNumberFormat="1">
      <alignment horizontal="center" shrinkToFit="0" vertical="center" wrapText="1"/>
    </xf>
    <xf borderId="8" fillId="0" fontId="44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7" fillId="0" fontId="51" numFmtId="164" xfId="0" applyAlignment="1" applyBorder="1" applyFont="1" applyNumberFormat="1">
      <alignment horizontal="center" shrinkToFit="0" vertical="center" wrapText="1"/>
    </xf>
    <xf borderId="7" fillId="0" fontId="52" numFmtId="164" xfId="0" applyAlignment="1" applyBorder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0" fillId="0" fontId="36" numFmtId="2" xfId="0" applyAlignment="1" applyFont="1" applyNumberFormat="1">
      <alignment horizontal="center" shrinkToFit="0" vertical="center" wrapText="1"/>
    </xf>
    <xf borderId="2" fillId="0" fontId="36" numFmtId="0" xfId="0" applyAlignment="1" applyBorder="1" applyFont="1">
      <alignment horizontal="center" readingOrder="0" shrinkToFit="0" vertical="center" wrapText="1"/>
    </xf>
    <xf borderId="4" fillId="0" fontId="36" numFmtId="2" xfId="0" applyAlignment="1" applyBorder="1" applyFont="1" applyNumberFormat="1">
      <alignment horizontal="center" readingOrder="0" shrinkToFit="0" vertical="center" wrapText="1"/>
    </xf>
    <xf borderId="10" fillId="0" fontId="3" numFmtId="2" xfId="0" applyAlignment="1" applyBorder="1" applyFont="1" applyNumberFormat="1">
      <alignment horizontal="center" shrinkToFit="0" vertical="center" wrapText="1"/>
    </xf>
    <xf borderId="13" fillId="0" fontId="53" numFmtId="164" xfId="0" applyAlignment="1" applyBorder="1" applyFont="1" applyNumberFormat="1">
      <alignment horizontal="center" shrinkToFit="0" vertical="center" wrapText="1"/>
    </xf>
    <xf borderId="14" fillId="0" fontId="54" numFmtId="164" xfId="0" applyAlignment="1" applyBorder="1" applyFont="1" applyNumberFormat="1">
      <alignment horizontal="center" shrinkToFit="0" vertical="center" wrapText="1"/>
    </xf>
    <xf borderId="10" fillId="0" fontId="53" numFmtId="164" xfId="0" applyAlignment="1" applyBorder="1" applyFont="1" applyNumberFormat="1">
      <alignment horizontal="center" shrinkToFit="0" vertical="center" wrapText="1"/>
    </xf>
    <xf borderId="14" fillId="0" fontId="54" numFmtId="164" xfId="0" applyAlignment="1" applyBorder="1" applyFont="1" applyNumberFormat="1">
      <alignment horizontal="center" readingOrder="0" shrinkToFit="0" vertical="center" wrapText="1"/>
    </xf>
    <xf borderId="10" fillId="0" fontId="53" numFmtId="164" xfId="0" applyAlignment="1" applyBorder="1" applyFont="1" applyNumberFormat="1">
      <alignment horizontal="center" readingOrder="0" shrinkToFit="0" vertical="center" wrapText="1"/>
    </xf>
    <xf borderId="0" fillId="0" fontId="55" numFmtId="0" xfId="0" applyAlignment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7" fillId="0" fontId="56" numFmtId="0" xfId="0" applyAlignment="1" applyBorder="1" applyFont="1">
      <alignment horizontal="center" readingOrder="0" shrinkToFit="0" vertical="center" wrapText="1"/>
    </xf>
    <xf borderId="7" fillId="0" fontId="57" numFmtId="165" xfId="0" applyAlignment="1" applyBorder="1" applyFont="1" applyNumberFormat="1">
      <alignment horizontal="center" shrinkToFit="0" vertical="center" wrapText="1"/>
    </xf>
    <xf borderId="0" fillId="0" fontId="36" numFmtId="0" xfId="0" applyFont="1"/>
    <xf borderId="10" fillId="0" fontId="3" numFmtId="0" xfId="0" applyBorder="1" applyFont="1"/>
    <xf borderId="0" fillId="0" fontId="25" numFmtId="2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0" fontId="58" numFmtId="0" xfId="0" applyAlignment="1" applyFont="1">
      <alignment horizontal="center" readingOrder="0" vertical="center"/>
    </xf>
    <xf borderId="0" fillId="0" fontId="58" numFmtId="0" xfId="0" applyAlignment="1" applyFont="1">
      <alignment horizontal="center" readingOrder="0" shrinkToFit="0" vertical="center" wrapText="1"/>
    </xf>
    <xf borderId="0" fillId="0" fontId="58" numFmtId="0" xfId="0" applyAlignment="1" applyFont="1">
      <alignment horizontal="center" vertical="center"/>
    </xf>
    <xf borderId="0" fillId="0" fontId="59" numFmtId="0" xfId="0" applyAlignment="1" applyFont="1">
      <alignment horizontal="left" readingOrder="0" shrinkToFit="0" vertical="center" wrapText="1"/>
    </xf>
    <xf borderId="0" fillId="0" fontId="55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2" fontId="60" numFmtId="0" xfId="0" applyAlignment="1" applyFont="1">
      <alignment horizontal="left" readingOrder="0" shrinkToFit="0" vertical="center" wrapText="1"/>
    </xf>
    <xf borderId="0" fillId="0" fontId="61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55" numFmtId="0" xfId="0" applyAlignment="1" applyFont="1">
      <alignment horizontal="left" shrinkToFit="0" vertical="center" wrapText="1"/>
    </xf>
    <xf borderId="0" fillId="0" fontId="62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left" readingOrder="0" vertical="center"/>
    </xf>
    <xf borderId="0" fillId="0" fontId="63" numFmtId="0" xfId="0" applyAlignment="1" applyFont="1">
      <alignment horizontal="left" readingOrder="0" vertical="center"/>
    </xf>
    <xf borderId="0" fillId="0" fontId="25" numFmtId="0" xfId="0" applyAlignment="1" applyFont="1">
      <alignment vertical="center"/>
    </xf>
    <xf borderId="0" fillId="0" fontId="64" numFmtId="0" xfId="0" applyAlignment="1" applyFont="1">
      <alignment readingOrder="0" vertical="center"/>
    </xf>
    <xf borderId="0" fillId="0" fontId="65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36" numFmtId="0" xfId="0" applyAlignment="1" applyFont="1">
      <alignment readingOrder="0"/>
    </xf>
    <xf borderId="1" fillId="0" fontId="36" numFmtId="0" xfId="0" applyAlignment="1" applyBorder="1" applyFont="1">
      <alignment horizontal="center" readingOrder="0"/>
    </xf>
    <xf borderId="2" fillId="0" fontId="36" numFmtId="0" xfId="0" applyAlignment="1" applyBorder="1" applyFont="1">
      <alignment horizontal="center" readingOrder="0"/>
    </xf>
    <xf borderId="1" fillId="18" fontId="36" numFmtId="0" xfId="0" applyAlignment="1" applyBorder="1" applyFill="1" applyFont="1">
      <alignment horizontal="center" readingOrder="0" vertical="center"/>
    </xf>
    <xf borderId="2" fillId="18" fontId="36" numFmtId="0" xfId="0" applyAlignment="1" applyBorder="1" applyFont="1">
      <alignment horizontal="center" readingOrder="0" vertical="center"/>
    </xf>
    <xf borderId="2" fillId="0" fontId="25" numFmtId="0" xfId="0" applyBorder="1" applyFont="1"/>
    <xf borderId="3" fillId="0" fontId="25" numFmtId="0" xfId="0" applyBorder="1" applyFont="1"/>
    <xf borderId="3" fillId="3" fontId="66" numFmtId="0" xfId="0" applyAlignment="1" applyBorder="1" applyFont="1">
      <alignment horizontal="center" readingOrder="0"/>
    </xf>
    <xf borderId="3" fillId="13" fontId="66" numFmtId="0" xfId="0" applyAlignment="1" applyBorder="1" applyFont="1">
      <alignment horizontal="center" readingOrder="0"/>
    </xf>
    <xf borderId="4" fillId="19" fontId="66" numFmtId="0" xfId="0" applyAlignment="1" applyBorder="1" applyFill="1" applyFont="1">
      <alignment horizontal="center" readingOrder="0"/>
    </xf>
    <xf borderId="2" fillId="3" fontId="66" numFmtId="0" xfId="0" applyAlignment="1" applyBorder="1" applyFont="1">
      <alignment horizontal="center" readingOrder="0"/>
    </xf>
    <xf borderId="2" fillId="18" fontId="25" numFmtId="0" xfId="0" applyBorder="1" applyFont="1"/>
    <xf borderId="3" fillId="18" fontId="25" numFmtId="0" xfId="0" applyBorder="1" applyFont="1"/>
    <xf borderId="4" fillId="18" fontId="25" numFmtId="0" xfId="0" applyBorder="1" applyFont="1"/>
    <xf borderId="7" fillId="3" fontId="66" numFmtId="0" xfId="0" applyAlignment="1" applyBorder="1" applyFont="1">
      <alignment horizontal="center" readingOrder="0"/>
    </xf>
    <xf borderId="7" fillId="4" fontId="66" numFmtId="0" xfId="0" applyAlignment="1" applyBorder="1" applyFont="1">
      <alignment horizontal="center" readingOrder="0"/>
    </xf>
    <xf borderId="5" fillId="0" fontId="67" numFmtId="0" xfId="0" applyAlignment="1" applyBorder="1" applyFont="1">
      <alignment horizontal="left" readingOrder="0" shrinkToFit="0" vertical="center" wrapText="1"/>
    </xf>
    <xf borderId="5" fillId="0" fontId="25" numFmtId="0" xfId="0" applyAlignment="1" applyBorder="1" applyFont="1">
      <alignment horizontal="right" readingOrder="0" vertical="center"/>
    </xf>
    <xf borderId="0" fillId="0" fontId="25" numFmtId="0" xfId="0" applyAlignment="1" applyFont="1">
      <alignment horizontal="right" readingOrder="0"/>
    </xf>
    <xf borderId="8" fillId="0" fontId="25" numFmtId="0" xfId="0" applyAlignment="1" applyBorder="1" applyFont="1">
      <alignment readingOrder="0"/>
    </xf>
    <xf borderId="0" fillId="3" fontId="25" numFmtId="2" xfId="0" applyFont="1" applyNumberFormat="1"/>
    <xf borderId="0" fillId="13" fontId="25" numFmtId="2" xfId="0" applyFont="1" applyNumberFormat="1"/>
    <xf borderId="9" fillId="19" fontId="25" numFmtId="2" xfId="0" applyBorder="1" applyFont="1" applyNumberFormat="1"/>
    <xf borderId="7" fillId="18" fontId="25" numFmtId="0" xfId="0" applyAlignment="1" applyBorder="1" applyFont="1">
      <alignment horizontal="left" readingOrder="0" shrinkToFit="0" vertical="center" wrapText="1"/>
    </xf>
    <xf borderId="7" fillId="18" fontId="25" numFmtId="0" xfId="0" applyAlignment="1" applyBorder="1" applyFont="1">
      <alignment horizontal="right" readingOrder="0"/>
    </xf>
    <xf borderId="7" fillId="3" fontId="25" numFmtId="2" xfId="0" applyAlignment="1" applyBorder="1" applyFont="1" applyNumberFormat="1">
      <alignment readingOrder="0"/>
    </xf>
    <xf borderId="7" fillId="4" fontId="25" numFmtId="2" xfId="0" applyAlignment="1" applyBorder="1" applyFont="1" applyNumberFormat="1">
      <alignment readingOrder="0"/>
    </xf>
    <xf borderId="0" fillId="20" fontId="25" numFmtId="0" xfId="0" applyAlignment="1" applyFill="1" applyFont="1">
      <alignment horizontal="left" readingOrder="0" shrinkToFit="0" vertical="center" wrapText="1"/>
    </xf>
    <xf borderId="10" fillId="0" fontId="25" numFmtId="0" xfId="0" applyAlignment="1" applyBorder="1" applyFont="1">
      <alignment horizontal="right" readingOrder="0"/>
    </xf>
    <xf borderId="0" fillId="20" fontId="25" numFmtId="0" xfId="0" applyAlignment="1" applyFont="1">
      <alignment horizontal="right" readingOrder="0"/>
    </xf>
    <xf borderId="8" fillId="20" fontId="25" numFmtId="0" xfId="0" applyAlignment="1" applyBorder="1" applyFont="1">
      <alignment readingOrder="0"/>
    </xf>
    <xf borderId="0" fillId="12" fontId="25" numFmtId="2" xfId="0" applyFont="1" applyNumberFormat="1"/>
    <xf borderId="0" fillId="21" fontId="25" numFmtId="2" xfId="0" applyFill="1" applyFont="1" applyNumberFormat="1"/>
    <xf borderId="9" fillId="22" fontId="25" numFmtId="2" xfId="0" applyBorder="1" applyFill="1" applyFont="1" applyNumberFormat="1"/>
    <xf borderId="12" fillId="0" fontId="25" numFmtId="0" xfId="0" applyAlignment="1" applyBorder="1" applyFont="1">
      <alignment horizontal="left" readingOrder="0" shrinkToFit="0" vertical="center" wrapText="1"/>
    </xf>
    <xf borderId="12" fillId="0" fontId="25" numFmtId="0" xfId="0" applyAlignment="1" applyBorder="1" applyFont="1">
      <alignment horizontal="right" readingOrder="0"/>
    </xf>
    <xf borderId="11" fillId="0" fontId="25" numFmtId="0" xfId="0" applyAlignment="1" applyBorder="1" applyFont="1">
      <alignment readingOrder="0"/>
    </xf>
    <xf borderId="12" fillId="3" fontId="25" numFmtId="2" xfId="0" applyBorder="1" applyFont="1" applyNumberFormat="1"/>
    <xf borderId="12" fillId="13" fontId="25" numFmtId="2" xfId="0" applyBorder="1" applyFont="1" applyNumberFormat="1"/>
    <xf borderId="15" fillId="19" fontId="25" numFmtId="2" xfId="0" applyBorder="1" applyFont="1" applyNumberFormat="1"/>
    <xf borderId="0" fillId="0" fontId="25" numFmtId="2" xfId="0" applyAlignment="1" applyFont="1" applyNumberFormat="1">
      <alignment horizontal="right" readingOrder="0"/>
    </xf>
    <xf borderId="10" fillId="20" fontId="25" numFmtId="0" xfId="0" applyAlignment="1" applyBorder="1" applyFont="1">
      <alignment horizontal="left" readingOrder="0" shrinkToFit="0" vertical="center" wrapText="1"/>
    </xf>
    <xf borderId="10" fillId="20" fontId="25" numFmtId="0" xfId="0" applyAlignment="1" applyBorder="1" applyFont="1">
      <alignment horizontal="right" readingOrder="0"/>
    </xf>
    <xf borderId="13" fillId="20" fontId="25" numFmtId="0" xfId="0" applyAlignment="1" applyBorder="1" applyFont="1">
      <alignment readingOrder="0"/>
    </xf>
    <xf borderId="10" fillId="12" fontId="25" numFmtId="2" xfId="0" applyBorder="1" applyFont="1" applyNumberFormat="1"/>
    <xf borderId="10" fillId="21" fontId="25" numFmtId="2" xfId="0" applyBorder="1" applyFont="1" applyNumberFormat="1"/>
    <xf borderId="14" fillId="22" fontId="25" numFmtId="2" xfId="0" applyBorder="1" applyFont="1" applyNumberFormat="1"/>
    <xf borderId="0" fillId="0" fontId="25" numFmtId="2" xfId="0" applyFont="1" applyNumberFormat="1"/>
    <xf borderId="10" fillId="12" fontId="25" numFmtId="2" xfId="0" applyAlignment="1" applyBorder="1" applyFont="1" applyNumberFormat="1">
      <alignment readingOrder="0"/>
    </xf>
    <xf borderId="11" fillId="4" fontId="25" numFmtId="167" xfId="0" applyAlignment="1" applyBorder="1" applyFont="1" applyNumberFormat="1">
      <alignment horizontal="center" vertical="center"/>
    </xf>
    <xf borderId="0" fillId="0" fontId="25" numFmtId="0" xfId="0" applyFont="1"/>
    <xf borderId="15" fillId="4" fontId="25" numFmtId="167" xfId="0" applyAlignment="1" applyBorder="1" applyFont="1" applyNumberFormat="1">
      <alignment horizontal="center" vertical="center"/>
    </xf>
    <xf borderId="8" fillId="0" fontId="2" numFmtId="0" xfId="0" applyBorder="1" applyFont="1"/>
    <xf borderId="14" fillId="0" fontId="2" numFmtId="0" xfId="0" applyBorder="1" applyFont="1"/>
    <xf borderId="13" fillId="0" fontId="2" numFmtId="0" xfId="0" applyBorder="1" applyFont="1"/>
    <xf borderId="10" fillId="4" fontId="25" numFmtId="0" xfId="0" applyBorder="1" applyFont="1"/>
    <xf borderId="11" fillId="7" fontId="25" numFmtId="167" xfId="0" applyAlignment="1" applyBorder="1" applyFont="1" applyNumberFormat="1">
      <alignment horizontal="center" vertical="center"/>
    </xf>
    <xf borderId="15" fillId="7" fontId="25" numFmtId="167" xfId="0" applyAlignment="1" applyBorder="1" applyFont="1" applyNumberFormat="1">
      <alignment horizontal="center" vertical="center"/>
    </xf>
    <xf borderId="10" fillId="7" fontId="25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68" numFmtId="0" xfId="0" applyAlignment="1" applyFont="1">
      <alignment horizontal="center" readingOrder="0" shrinkToFit="0" vertical="center" wrapText="1"/>
    </xf>
    <xf borderId="0" fillId="0" fontId="69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vertical="center"/>
    </xf>
    <xf borderId="0" fillId="0" fontId="70" numFmtId="0" xfId="0" applyAlignment="1" applyFont="1">
      <alignment horizontal="center" shrinkToFit="0" vertical="center" wrapText="1"/>
    </xf>
    <xf borderId="0" fillId="0" fontId="70" numFmtId="2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orenzo Squarzoni" id="{908fbe6f-b437-409e-835f-d780e501b9fb}" providerId="google-sheets"/>
  <x18tc:person displayName="Lorenzo Lamberti" id="{7db4f1e4-1a43-4873-aca7-ce9039415c2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" dT="2025-06-16T09:06:40.00" personId="{7db4f1e4-1a43-4873-aca7-ce9039415c20}" id="{4963401b-9aa1-421a-b0ff-49e7e24a656d}" done="1">
    <x18tc:text xml:space="preserve">cos'e', un SoC o FPGA ?</x18tc:text>
  </x18tc:threadedComment>
  <x18tc:threadedComment ref="Q2" dT="2025-06-17T14:02:05.00" personId="{908fbe6f-b437-409e-835f-d780e501b9fb}" id="{2a61949b-f0c9-4cf9-936c-377bdccab2ee}" parentId="{4963401b-9aa1-421a-b0ff-49e7e24a656d}">
    <x18tc:text xml:space="preserve">Andando a ritroso seguendo le varie fonti, penso di aver trovato l'hardware a cui fanno riferimento in questi paper per la loro stima energetica: è un acceleratore per ML chiamato Eyeriss (https://courses.cs.washington.edu/courses/cse550/21au/papers/CSE550.Eyeriss.pdf)</x18tc:text>
    <x18tc:extLst>
      <ext uri="{F7C98A9C-CBB3-438F-8F68-D28B6AF4A901}">
        <xltc2:checksum/>
        <xltc2:hyperlink startIndex="189" length="79" url="https://courses.cs.washington.edu/courses/cse550/21au/papers/CSE550.Eyeriss.pdf"/>
      </ext>
    </x18tc:extLst>
  </x18tc:threadedComment>
  <x18tc:threadedComment ref="Q6" dT="2025-06-16T09:06:09.00" personId="{7db4f1e4-1a43-4873-aca7-ce9039415c20}" id="{34380304-5c0a-4a63-8be3-8577b346cd1a}" done="1">
    <x18tc:text xml:space="preserve">non danno alcun dettaglio ?</x18tc:text>
  </x18tc:threadedComment>
  <x18tc:threadedComment ref="G6" dT="2025-06-16T09:05:49.00" personId="{7db4f1e4-1a43-4873-aca7-ce9039415c20}" id="{cce8307a-9b50-4f0b-9c97-210c02942e8c}" done="1">
    <x18tc:text xml:space="preserve">quando replichi il codice puoi fare un torch summary e investigare quanto siano grandi questi modelli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access.thecvf.com/content/CVPR2021/papers/Paredes-Valles_Back_to_Event_Basics_Self-Supervised_Learning_of_Image_Reconstruction_for_CVPR_2021_paper.pdf" TargetMode="External"/><Relationship Id="rId11" Type="http://schemas.openxmlformats.org/officeDocument/2006/relationships/hyperlink" Target="https://arxiv.org/pdf/2306.02960v2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pure.rug.nl/ws/portalfiles/portal/830806072/Complete_thesis.pdf" TargetMode="External"/><Relationship Id="rId21" Type="http://schemas.openxmlformats.org/officeDocument/2006/relationships/hyperlink" Target="https://arxiv.org/abs/2404.19668" TargetMode="External"/><Relationship Id="rId13" Type="http://schemas.openxmlformats.org/officeDocument/2006/relationships/hyperlink" Target="https://link.springer.com/chapter/10.1007/978-3-030-58526-6_22" TargetMode="External"/><Relationship Id="rId12" Type="http://schemas.openxmlformats.org/officeDocument/2006/relationships/hyperlink" Target="https://arxiv.org/pdf/2501.12482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openaccess.thecvf.com/content/ICCV2023/papers/Ponghiran_Event-based_Temporally_Dense_Optical_Flow_Estimation_with_Sequential_Learning_ICCV_2023_paper.pdf" TargetMode="External"/><Relationship Id="rId9" Type="http://schemas.openxmlformats.org/officeDocument/2006/relationships/hyperlink" Target="https://ieeexplore.ieee.org/stamp/stamp.jsp?tp=&amp;arnumber=9811821" TargetMode="External"/><Relationship Id="rId15" Type="http://schemas.openxmlformats.org/officeDocument/2006/relationships/hyperlink" Target="https://www.frontiersin.org/journals/neuroscience/articles/10.3389/fnins.2023.1160034/full" TargetMode="External"/><Relationship Id="rId14" Type="http://schemas.openxmlformats.org/officeDocument/2006/relationships/hyperlink" Target="https://github.com/chan8972/Spike-FlowNet" TargetMode="External"/><Relationship Id="rId17" Type="http://schemas.openxmlformats.org/officeDocument/2006/relationships/hyperlink" Target="https://arxiv.org/pdf/2409.04082" TargetMode="External"/><Relationship Id="rId16" Type="http://schemas.openxmlformats.org/officeDocument/2006/relationships/hyperlink" Target="https://github.com/J-Cuadrado/OF_EV_SNN?tab=readme-ov-file" TargetMode="External"/><Relationship Id="rId5" Type="http://schemas.openxmlformats.org/officeDocument/2006/relationships/hyperlink" Target="https://rpg.ifi.uzh.ch/docs/EventVisionSurvey.pdf" TargetMode="External"/><Relationship Id="rId19" Type="http://schemas.openxmlformats.org/officeDocument/2006/relationships/hyperlink" Target="https://openaccess.thecvf.com/content_WACV_2020/papers/Scheerlinck_Fast_Image_Reconstruction_with_an_Event_Camera_WACV_2020_paper.pdf" TargetMode="External"/><Relationship Id="rId6" Type="http://schemas.openxmlformats.org/officeDocument/2006/relationships/hyperlink" Target="https://proceedings.neurips.cc/paper_files/paper/2021/file/39d4b545fb02556829aab1db805021c3-Paper.pdf" TargetMode="External"/><Relationship Id="rId18" Type="http://schemas.openxmlformats.org/officeDocument/2006/relationships/hyperlink" Target="https://github.com/yitian97/SDformerFlow" TargetMode="External"/><Relationship Id="rId7" Type="http://schemas.openxmlformats.org/officeDocument/2006/relationships/hyperlink" Target="https://github.com/tudelft/event_flow" TargetMode="External"/><Relationship Id="rId8" Type="http://schemas.openxmlformats.org/officeDocument/2006/relationships/hyperlink" Target="https://ieeexplore.ieee.org/stamp/stamp.jsp?tp=&amp;arnumber=978276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udelft/event_flo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pv.ifi.uzh.ch/" TargetMode="External"/><Relationship Id="rId2" Type="http://schemas.openxmlformats.org/officeDocument/2006/relationships/hyperlink" Target="https://daniilidis-group.github.io/mvsec/" TargetMode="External"/><Relationship Id="rId3" Type="http://schemas.openxmlformats.org/officeDocument/2006/relationships/hyperlink" Target="https://drive.google.com/drive/folders/1gDy2PwVOu_FPOsEZjojdWEB2ZHmpio8D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29.63"/>
    <col customWidth="1" min="16" max="16" width="7.75"/>
    <col customWidth="1" min="17" max="17" width="6.25"/>
    <col customWidth="1" min="18" max="39" width="6.38"/>
    <col customWidth="1" min="45" max="45" width="15.63"/>
    <col customWidth="1" min="46" max="46" width="15.0"/>
    <col customWidth="1" min="47" max="4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/>
      <c r="AT1" s="5"/>
      <c r="AU1" s="5"/>
      <c r="AV1" s="5"/>
      <c r="AW1" s="5"/>
      <c r="AX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2" t="s">
        <v>16</v>
      </c>
      <c r="Q2" s="3"/>
      <c r="R2" s="3"/>
      <c r="S2" s="3"/>
      <c r="T2" s="3"/>
      <c r="U2" s="4"/>
      <c r="V2" s="2" t="s">
        <v>17</v>
      </c>
      <c r="W2" s="3"/>
      <c r="X2" s="3"/>
      <c r="Y2" s="3"/>
      <c r="Z2" s="3"/>
      <c r="AA2" s="4"/>
      <c r="AB2" s="2" t="s">
        <v>18</v>
      </c>
      <c r="AC2" s="3"/>
      <c r="AD2" s="3"/>
      <c r="AE2" s="3"/>
      <c r="AF2" s="3"/>
      <c r="AG2" s="4"/>
      <c r="AH2" s="2" t="s">
        <v>19</v>
      </c>
      <c r="AI2" s="3"/>
      <c r="AJ2" s="3"/>
      <c r="AK2" s="3"/>
      <c r="AL2" s="3"/>
      <c r="AM2" s="4"/>
      <c r="AN2" s="2" t="s">
        <v>20</v>
      </c>
      <c r="AO2" s="3"/>
      <c r="AP2" s="3"/>
      <c r="AQ2" s="3"/>
      <c r="AR2" s="4"/>
      <c r="AS2" s="7" t="s">
        <v>21</v>
      </c>
      <c r="AT2" s="7" t="s">
        <v>22</v>
      </c>
      <c r="AU2" s="7" t="s">
        <v>23</v>
      </c>
      <c r="AV2" s="7" t="s">
        <v>24</v>
      </c>
      <c r="AW2" s="8"/>
      <c r="AX2" s="8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9" t="s">
        <v>25</v>
      </c>
      <c r="Q3" s="4"/>
      <c r="R3" s="10" t="s">
        <v>26</v>
      </c>
      <c r="S3" s="4"/>
      <c r="T3" s="11" t="s">
        <v>27</v>
      </c>
      <c r="U3" s="4"/>
      <c r="V3" s="9" t="s">
        <v>25</v>
      </c>
      <c r="W3" s="4"/>
      <c r="X3" s="10" t="s">
        <v>26</v>
      </c>
      <c r="Y3" s="4"/>
      <c r="Z3" s="11" t="s">
        <v>27</v>
      </c>
      <c r="AA3" s="4"/>
      <c r="AB3" s="9" t="s">
        <v>25</v>
      </c>
      <c r="AC3" s="4"/>
      <c r="AD3" s="10" t="s">
        <v>26</v>
      </c>
      <c r="AE3" s="4"/>
      <c r="AF3" s="11" t="s">
        <v>27</v>
      </c>
      <c r="AG3" s="4"/>
      <c r="AH3" s="9" t="s">
        <v>25</v>
      </c>
      <c r="AI3" s="4"/>
      <c r="AJ3" s="10" t="s">
        <v>26</v>
      </c>
      <c r="AK3" s="4"/>
      <c r="AL3" s="11" t="s">
        <v>27</v>
      </c>
      <c r="AM3" s="4"/>
      <c r="AN3" s="12" t="s">
        <v>28</v>
      </c>
      <c r="AO3" s="13" t="s">
        <v>29</v>
      </c>
      <c r="AP3" s="13" t="s">
        <v>30</v>
      </c>
      <c r="AQ3" s="14" t="s">
        <v>31</v>
      </c>
      <c r="AR3" s="14" t="s">
        <v>32</v>
      </c>
      <c r="AS3" s="8"/>
      <c r="AT3" s="8"/>
      <c r="AU3" s="8"/>
      <c r="AV3" s="8"/>
      <c r="AW3" s="8"/>
      <c r="AX3" s="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 t="s">
        <v>33</v>
      </c>
      <c r="Q4" s="16" t="s">
        <v>34</v>
      </c>
      <c r="R4" s="17" t="s">
        <v>33</v>
      </c>
      <c r="S4" s="17" t="s">
        <v>34</v>
      </c>
      <c r="T4" s="18" t="s">
        <v>33</v>
      </c>
      <c r="U4" s="18" t="s">
        <v>34</v>
      </c>
      <c r="V4" s="16" t="s">
        <v>33</v>
      </c>
      <c r="W4" s="16" t="s">
        <v>34</v>
      </c>
      <c r="X4" s="17" t="s">
        <v>33</v>
      </c>
      <c r="Y4" s="17" t="s">
        <v>34</v>
      </c>
      <c r="Z4" s="18" t="s">
        <v>33</v>
      </c>
      <c r="AA4" s="18" t="s">
        <v>34</v>
      </c>
      <c r="AB4" s="16" t="s">
        <v>33</v>
      </c>
      <c r="AC4" s="16" t="s">
        <v>34</v>
      </c>
      <c r="AD4" s="17" t="s">
        <v>33</v>
      </c>
      <c r="AE4" s="17" t="s">
        <v>34</v>
      </c>
      <c r="AF4" s="18" t="s">
        <v>33</v>
      </c>
      <c r="AG4" s="18" t="s">
        <v>34</v>
      </c>
      <c r="AH4" s="16" t="s">
        <v>33</v>
      </c>
      <c r="AI4" s="16" t="s">
        <v>34</v>
      </c>
      <c r="AJ4" s="17" t="s">
        <v>33</v>
      </c>
      <c r="AK4" s="17" t="s">
        <v>34</v>
      </c>
      <c r="AL4" s="18" t="s">
        <v>33</v>
      </c>
      <c r="AM4" s="18" t="s">
        <v>34</v>
      </c>
      <c r="AN4" s="15"/>
      <c r="AO4" s="15"/>
      <c r="AP4" s="15"/>
      <c r="AQ4" s="15"/>
      <c r="AR4" s="15"/>
      <c r="AS4" s="8"/>
      <c r="AT4" s="8"/>
      <c r="AU4" s="8"/>
      <c r="AV4" s="8"/>
      <c r="AW4" s="8"/>
      <c r="AX4" s="8"/>
    </row>
    <row r="5" hidden="1">
      <c r="A5" s="19" t="s">
        <v>35</v>
      </c>
      <c r="B5" s="20" t="b">
        <v>1</v>
      </c>
      <c r="C5" s="21" t="s">
        <v>36</v>
      </c>
      <c r="D5" s="21" t="s">
        <v>37</v>
      </c>
      <c r="E5" s="22" t="s">
        <v>38</v>
      </c>
      <c r="F5" s="22" t="s">
        <v>37</v>
      </c>
      <c r="G5" s="22">
        <v>32.0</v>
      </c>
      <c r="H5" s="22" t="s">
        <v>39</v>
      </c>
      <c r="I5" s="22">
        <v>8.0</v>
      </c>
      <c r="J5" s="23" t="s">
        <v>37</v>
      </c>
      <c r="K5" s="23" t="s">
        <v>37</v>
      </c>
      <c r="L5" s="23" t="s">
        <v>37</v>
      </c>
      <c r="M5" s="23" t="s">
        <v>37</v>
      </c>
      <c r="N5" s="23" t="s">
        <v>37</v>
      </c>
      <c r="O5" s="23" t="s">
        <v>37</v>
      </c>
      <c r="P5" s="24">
        <v>0.93</v>
      </c>
      <c r="Q5" s="24">
        <v>3.526</v>
      </c>
      <c r="R5" s="25">
        <v>0.382</v>
      </c>
      <c r="S5" s="25">
        <v>0.378</v>
      </c>
      <c r="T5" s="25"/>
      <c r="U5" s="25"/>
      <c r="V5" s="24">
        <v>1.703</v>
      </c>
      <c r="W5" s="24">
        <v>6.07</v>
      </c>
      <c r="X5" s="25">
        <v>0.407</v>
      </c>
      <c r="Y5" s="25">
        <v>0.389</v>
      </c>
      <c r="Z5" s="25"/>
      <c r="AA5" s="25"/>
      <c r="AB5" s="24">
        <v>1.432</v>
      </c>
      <c r="AC5" s="24">
        <v>5.031</v>
      </c>
      <c r="AD5" s="25">
        <v>0.379</v>
      </c>
      <c r="AE5" s="25">
        <v>0.366</v>
      </c>
      <c r="AF5" s="25"/>
      <c r="AG5" s="25"/>
      <c r="AH5" s="24">
        <v>0.539</v>
      </c>
      <c r="AI5" s="24">
        <v>2.018</v>
      </c>
      <c r="AJ5" s="25">
        <v>0.367</v>
      </c>
      <c r="AK5" s="25">
        <v>0.356</v>
      </c>
      <c r="AL5" s="25"/>
      <c r="AM5" s="25"/>
      <c r="AN5" s="26">
        <f t="shared" ref="AN5:AN10" si="1">AVERAGE(P5,Q5,V5,W5,AB5,AC5,AH5,AI5)</f>
        <v>2.656125</v>
      </c>
      <c r="AO5" s="27">
        <f t="shared" ref="AO5:AO10" si="2">AVERAGE(R5,S5,X5,AD5,AE5,Y5,AJ5,AK5)</f>
        <v>0.378</v>
      </c>
      <c r="AP5" s="28">
        <f t="shared" ref="AP5:AP10" si="3">AO5 * (180/PI())</f>
        <v>21.65780466</v>
      </c>
      <c r="AQ5" s="29"/>
      <c r="AR5" s="29"/>
      <c r="AS5" s="8"/>
      <c r="AT5" s="8"/>
      <c r="AU5" s="8"/>
      <c r="AV5" s="8"/>
      <c r="AW5" s="8"/>
      <c r="AX5" s="8"/>
    </row>
    <row r="6" hidden="1">
      <c r="A6" s="6"/>
      <c r="B6" s="20" t="b">
        <v>1</v>
      </c>
      <c r="C6" s="21" t="s">
        <v>36</v>
      </c>
      <c r="D6" s="21" t="s">
        <v>37</v>
      </c>
      <c r="E6" s="22" t="s">
        <v>38</v>
      </c>
      <c r="F6" s="22" t="s">
        <v>37</v>
      </c>
      <c r="G6" s="30">
        <v>16.0</v>
      </c>
      <c r="H6" s="22" t="s">
        <v>39</v>
      </c>
      <c r="I6" s="22">
        <v>8.0</v>
      </c>
      <c r="J6" s="23" t="s">
        <v>37</v>
      </c>
      <c r="K6" s="23" t="s">
        <v>37</v>
      </c>
      <c r="L6" s="23" t="s">
        <v>37</v>
      </c>
      <c r="M6" s="23" t="s">
        <v>37</v>
      </c>
      <c r="N6" s="23" t="s">
        <v>37</v>
      </c>
      <c r="O6" s="23" t="s">
        <v>37</v>
      </c>
      <c r="P6" s="24">
        <v>0.976628541054309</v>
      </c>
      <c r="Q6" s="24">
        <v>3.72102530076861</v>
      </c>
      <c r="R6" s="31">
        <v>0.428509192813337</v>
      </c>
      <c r="S6" s="25">
        <v>0.423789770828952</v>
      </c>
      <c r="T6" s="25"/>
      <c r="U6" s="25"/>
      <c r="V6" s="24">
        <v>1.79175105711201</v>
      </c>
      <c r="W6" s="24">
        <v>6.4000055414169</v>
      </c>
      <c r="X6" s="25">
        <v>0.556071546926446</v>
      </c>
      <c r="Y6" s="25">
        <v>0.549277287637667</v>
      </c>
      <c r="Z6" s="25"/>
      <c r="AA6" s="25"/>
      <c r="AB6" s="24">
        <v>1.5225586444691</v>
      </c>
      <c r="AC6" s="24">
        <v>5.38570878055337</v>
      </c>
      <c r="AD6" s="25">
        <v>0.457604424671945</v>
      </c>
      <c r="AE6" s="25">
        <v>0.442026798812628</v>
      </c>
      <c r="AF6" s="25"/>
      <c r="AG6" s="25"/>
      <c r="AH6" s="24">
        <v>0.549441523704825</v>
      </c>
      <c r="AI6" s="24">
        <v>2.0822995544447</v>
      </c>
      <c r="AJ6" s="25">
        <v>0.287742150448149</v>
      </c>
      <c r="AK6" s="25">
        <v>0.284122091494246</v>
      </c>
      <c r="AL6" s="25"/>
      <c r="AM6" s="25"/>
      <c r="AN6" s="26">
        <f t="shared" si="1"/>
        <v>2.803677368</v>
      </c>
      <c r="AO6" s="27">
        <f t="shared" si="2"/>
        <v>0.428642908</v>
      </c>
      <c r="AP6" s="28">
        <f t="shared" si="3"/>
        <v>24.55942954</v>
      </c>
      <c r="AQ6" s="29"/>
      <c r="AR6" s="29"/>
      <c r="AS6" s="8"/>
      <c r="AT6" s="8"/>
      <c r="AU6" s="8"/>
      <c r="AV6" s="8"/>
      <c r="AW6" s="8"/>
      <c r="AX6" s="8"/>
    </row>
    <row r="7" hidden="1">
      <c r="A7" s="6"/>
      <c r="B7" s="20" t="b">
        <v>1</v>
      </c>
      <c r="C7" s="21" t="s">
        <v>36</v>
      </c>
      <c r="D7" s="21" t="s">
        <v>37</v>
      </c>
      <c r="E7" s="30" t="s">
        <v>40</v>
      </c>
      <c r="F7" s="22" t="s">
        <v>41</v>
      </c>
      <c r="G7" s="22">
        <v>32.0</v>
      </c>
      <c r="H7" s="22" t="s">
        <v>39</v>
      </c>
      <c r="I7" s="22">
        <v>8.0</v>
      </c>
      <c r="J7" s="23" t="s">
        <v>37</v>
      </c>
      <c r="K7" s="23" t="s">
        <v>37</v>
      </c>
      <c r="L7" s="23" t="s">
        <v>37</v>
      </c>
      <c r="M7" s="23" t="s">
        <v>37</v>
      </c>
      <c r="N7" s="23" t="s">
        <v>37</v>
      </c>
      <c r="O7" s="23" t="s">
        <v>37</v>
      </c>
      <c r="P7" s="32">
        <v>0.819315842946471</v>
      </c>
      <c r="Q7" s="32">
        <v>3.17520455550244</v>
      </c>
      <c r="R7" s="33">
        <v>0.384457572342975</v>
      </c>
      <c r="S7" s="33">
        <v>0.364821335654003</v>
      </c>
      <c r="T7" s="33"/>
      <c r="U7" s="33"/>
      <c r="V7" s="32">
        <v>1.46285801886403</v>
      </c>
      <c r="W7" s="32">
        <v>5.50417648067413</v>
      </c>
      <c r="X7" s="33">
        <v>0.391499484157145</v>
      </c>
      <c r="Y7" s="33">
        <v>0.3866441503534</v>
      </c>
      <c r="Z7" s="33"/>
      <c r="AA7" s="33"/>
      <c r="AB7" s="32">
        <v>1.19701420808414</v>
      </c>
      <c r="AC7" s="32">
        <v>4.51352871168288</v>
      </c>
      <c r="AD7" s="33">
        <v>0.343153751750059</v>
      </c>
      <c r="AE7" s="33">
        <v>0.345329594072</v>
      </c>
      <c r="AF7" s="33"/>
      <c r="AG7" s="33"/>
      <c r="AH7" s="32">
        <v>0.440959886176518</v>
      </c>
      <c r="AI7" s="32">
        <v>1.76019963724808</v>
      </c>
      <c r="AJ7" s="33">
        <v>0.492658579256137</v>
      </c>
      <c r="AK7" s="33">
        <v>0.479083931531554</v>
      </c>
      <c r="AL7" s="33"/>
      <c r="AM7" s="33"/>
      <c r="AN7" s="34">
        <f t="shared" si="1"/>
        <v>2.359157168</v>
      </c>
      <c r="AO7" s="35">
        <f t="shared" si="2"/>
        <v>0.3984560499</v>
      </c>
      <c r="AP7" s="36">
        <f t="shared" si="3"/>
        <v>22.82984998</v>
      </c>
      <c r="AQ7" s="37"/>
      <c r="AR7" s="37"/>
      <c r="AS7" s="8"/>
      <c r="AT7" s="8"/>
      <c r="AU7" s="8"/>
      <c r="AV7" s="8"/>
      <c r="AW7" s="8"/>
      <c r="AX7" s="8"/>
    </row>
    <row r="8" hidden="1">
      <c r="A8" s="6"/>
      <c r="B8" s="20" t="b">
        <v>1</v>
      </c>
      <c r="C8" s="21" t="s">
        <v>36</v>
      </c>
      <c r="D8" s="21" t="s">
        <v>37</v>
      </c>
      <c r="E8" s="22" t="s">
        <v>38</v>
      </c>
      <c r="F8" s="22" t="s">
        <v>37</v>
      </c>
      <c r="G8" s="22">
        <v>32.0</v>
      </c>
      <c r="H8" s="22" t="s">
        <v>39</v>
      </c>
      <c r="I8" s="30">
        <v>6.0</v>
      </c>
      <c r="J8" s="23" t="s">
        <v>37</v>
      </c>
      <c r="K8" s="23" t="s">
        <v>37</v>
      </c>
      <c r="L8" s="23" t="s">
        <v>37</v>
      </c>
      <c r="M8" s="23" t="s">
        <v>37</v>
      </c>
      <c r="N8" s="23" t="s">
        <v>37</v>
      </c>
      <c r="O8" s="23" t="s">
        <v>37</v>
      </c>
      <c r="P8" s="24">
        <v>0.989529102807208</v>
      </c>
      <c r="Q8" s="24">
        <v>3.76707927714151</v>
      </c>
      <c r="R8" s="25">
        <v>0.477059565605657</v>
      </c>
      <c r="S8" s="25">
        <v>0.45856341803738</v>
      </c>
      <c r="T8" s="25"/>
      <c r="U8" s="25"/>
      <c r="V8" s="24">
        <v>1.84876824500695</v>
      </c>
      <c r="W8" s="24">
        <v>6.59600605361806</v>
      </c>
      <c r="X8" s="25">
        <v>0.666468150889003</v>
      </c>
      <c r="Y8" s="25">
        <v>0.641948141113319</v>
      </c>
      <c r="Z8" s="25"/>
      <c r="AA8" s="25"/>
      <c r="AB8" s="24">
        <v>1.56327479009086</v>
      </c>
      <c r="AC8" s="24">
        <v>5.50012288295684</v>
      </c>
      <c r="AD8" s="25">
        <v>0.552553115905004</v>
      </c>
      <c r="AE8" s="25">
        <v>0.516338884718701</v>
      </c>
      <c r="AF8" s="25"/>
      <c r="AG8" s="25"/>
      <c r="AH8" s="24">
        <v>0.585770049771748</v>
      </c>
      <c r="AI8" s="24">
        <v>2.28415152285388</v>
      </c>
      <c r="AJ8" s="25">
        <v>0.316712688870055</v>
      </c>
      <c r="AK8" s="25">
        <v>0.32050926255054</v>
      </c>
      <c r="AL8" s="25"/>
      <c r="AM8" s="25"/>
      <c r="AN8" s="26">
        <f t="shared" si="1"/>
        <v>2.891837741</v>
      </c>
      <c r="AO8" s="27">
        <f t="shared" si="2"/>
        <v>0.4937691535</v>
      </c>
      <c r="AP8" s="28">
        <f t="shared" si="3"/>
        <v>28.29088855</v>
      </c>
      <c r="AQ8" s="29"/>
      <c r="AR8" s="29"/>
      <c r="AS8" s="8"/>
      <c r="AT8" s="8"/>
      <c r="AU8" s="8"/>
      <c r="AV8" s="8"/>
      <c r="AW8" s="8"/>
      <c r="AX8" s="8"/>
    </row>
    <row r="9" hidden="1">
      <c r="A9" s="6"/>
      <c r="B9" s="20" t="b">
        <v>1</v>
      </c>
      <c r="C9" s="21" t="s">
        <v>36</v>
      </c>
      <c r="D9" s="21" t="s">
        <v>37</v>
      </c>
      <c r="E9" s="30" t="s">
        <v>40</v>
      </c>
      <c r="F9" s="22" t="s">
        <v>41</v>
      </c>
      <c r="G9" s="30">
        <v>16.0</v>
      </c>
      <c r="H9" s="22" t="s">
        <v>39</v>
      </c>
      <c r="I9" s="30">
        <v>6.0</v>
      </c>
      <c r="J9" s="23" t="s">
        <v>37</v>
      </c>
      <c r="K9" s="23" t="s">
        <v>37</v>
      </c>
      <c r="L9" s="23" t="s">
        <v>37</v>
      </c>
      <c r="M9" s="23" t="s">
        <v>37</v>
      </c>
      <c r="N9" s="23" t="s">
        <v>37</v>
      </c>
      <c r="O9" s="23" t="s">
        <v>37</v>
      </c>
      <c r="P9" s="24">
        <v>0.889559785362266</v>
      </c>
      <c r="Q9" s="24">
        <v>3.4444673175557</v>
      </c>
      <c r="R9" s="25">
        <v>0.492546037968508</v>
      </c>
      <c r="S9" s="25">
        <v>0.468030570330521</v>
      </c>
      <c r="T9" s="25"/>
      <c r="U9" s="25"/>
      <c r="V9" s="24">
        <v>1.5582721464545</v>
      </c>
      <c r="W9" s="24">
        <v>5.89704123376595</v>
      </c>
      <c r="X9" s="25">
        <v>0.618817259317436</v>
      </c>
      <c r="Y9" s="25">
        <v>0.633610289293222</v>
      </c>
      <c r="Z9" s="25"/>
      <c r="AA9" s="25"/>
      <c r="AB9" s="24">
        <v>1.29257151550709</v>
      </c>
      <c r="AC9" s="24">
        <v>4.87739261544439</v>
      </c>
      <c r="AD9" s="25">
        <v>0.514572434219783</v>
      </c>
      <c r="AE9" s="25">
        <v>0.514181344937884</v>
      </c>
      <c r="AF9" s="25"/>
      <c r="AG9" s="25"/>
      <c r="AH9" s="24">
        <v>0.451770910482596</v>
      </c>
      <c r="AI9" s="24">
        <v>1.83301272500183</v>
      </c>
      <c r="AJ9" s="25">
        <v>0.513407898234807</v>
      </c>
      <c r="AK9" s="25">
        <v>0.504138078544083</v>
      </c>
      <c r="AL9" s="25"/>
      <c r="AM9" s="25"/>
      <c r="AN9" s="26">
        <f t="shared" si="1"/>
        <v>2.530511031</v>
      </c>
      <c r="AO9" s="27">
        <f t="shared" si="2"/>
        <v>0.5324129891</v>
      </c>
      <c r="AP9" s="28">
        <f t="shared" si="3"/>
        <v>30.50501723</v>
      </c>
      <c r="AQ9" s="29"/>
      <c r="AR9" s="29"/>
      <c r="AS9" s="8"/>
      <c r="AT9" s="8"/>
      <c r="AU9" s="8"/>
      <c r="AV9" s="8"/>
      <c r="AW9" s="8"/>
      <c r="AX9" s="8"/>
    </row>
    <row r="10" hidden="1">
      <c r="A10" s="15"/>
      <c r="B10" s="20" t="b">
        <v>1</v>
      </c>
      <c r="C10" s="21" t="s">
        <v>36</v>
      </c>
      <c r="D10" s="21" t="s">
        <v>37</v>
      </c>
      <c r="E10" s="30" t="s">
        <v>40</v>
      </c>
      <c r="F10" s="22" t="s">
        <v>41</v>
      </c>
      <c r="G10" s="30">
        <v>16.0</v>
      </c>
      <c r="H10" s="22" t="s">
        <v>39</v>
      </c>
      <c r="I10" s="22">
        <v>8.0</v>
      </c>
      <c r="J10" s="23" t="s">
        <v>37</v>
      </c>
      <c r="K10" s="23" t="s">
        <v>37</v>
      </c>
      <c r="L10" s="23" t="s">
        <v>37</v>
      </c>
      <c r="M10" s="23" t="s">
        <v>37</v>
      </c>
      <c r="N10" s="23" t="s">
        <v>37</v>
      </c>
      <c r="O10" s="23" t="s">
        <v>37</v>
      </c>
      <c r="P10" s="24">
        <v>0.852438968858959</v>
      </c>
      <c r="Q10" s="24">
        <v>3.32998764814549</v>
      </c>
      <c r="R10" s="25">
        <v>0.44758498959893</v>
      </c>
      <c r="S10" s="25">
        <v>0.436039526342505</v>
      </c>
      <c r="T10" s="25"/>
      <c r="U10" s="25"/>
      <c r="V10" s="24">
        <v>1.5469498726875</v>
      </c>
      <c r="W10" s="24">
        <v>5.84349435960587</v>
      </c>
      <c r="X10" s="25">
        <v>0.51559071599604</v>
      </c>
      <c r="Y10" s="25">
        <v>0.522300283717924</v>
      </c>
      <c r="Z10" s="25"/>
      <c r="AA10" s="25"/>
      <c r="AB10" s="24">
        <v>1.28610520614269</v>
      </c>
      <c r="AC10" s="24">
        <v>4.83098065858</v>
      </c>
      <c r="AD10" s="25">
        <v>0.438839502445925</v>
      </c>
      <c r="AE10" s="25">
        <v>0.434721995495974</v>
      </c>
      <c r="AF10" s="25"/>
      <c r="AG10" s="25"/>
      <c r="AH10" s="24">
        <v>0.445689513390992</v>
      </c>
      <c r="AI10" s="24">
        <v>1.79132012078541</v>
      </c>
      <c r="AJ10" s="25">
        <v>0.393072661972779</v>
      </c>
      <c r="AK10" s="25">
        <v>0.382293095257761</v>
      </c>
      <c r="AL10" s="25"/>
      <c r="AM10" s="25"/>
      <c r="AN10" s="26">
        <f t="shared" si="1"/>
        <v>2.490870794</v>
      </c>
      <c r="AO10" s="27">
        <f t="shared" si="2"/>
        <v>0.4463053464</v>
      </c>
      <c r="AP10" s="28">
        <f t="shared" si="3"/>
        <v>25.57141272</v>
      </c>
      <c r="AQ10" s="29"/>
      <c r="AR10" s="29"/>
      <c r="AS10" s="8"/>
      <c r="AT10" s="8"/>
      <c r="AU10" s="8"/>
      <c r="AV10" s="8"/>
      <c r="AW10" s="8"/>
      <c r="AX10" s="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>
      <c r="A12" s="39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4"/>
    </row>
    <row r="13">
      <c r="A13" s="40" t="s">
        <v>43</v>
      </c>
      <c r="B13" s="41" t="b">
        <v>0</v>
      </c>
      <c r="C13" s="41" t="s">
        <v>37</v>
      </c>
      <c r="D13" s="41" t="s">
        <v>37</v>
      </c>
      <c r="E13" s="42" t="s">
        <v>38</v>
      </c>
      <c r="F13" s="41" t="s">
        <v>37</v>
      </c>
      <c r="G13" s="41">
        <v>32.0</v>
      </c>
      <c r="H13" s="42" t="s">
        <v>39</v>
      </c>
      <c r="I13" s="42">
        <v>8.0</v>
      </c>
      <c r="J13" s="43">
        <v>4.8738</v>
      </c>
      <c r="K13" s="41">
        <v>0.1174</v>
      </c>
      <c r="L13" s="41">
        <v>0.2993</v>
      </c>
      <c r="M13" s="44">
        <v>75.497</v>
      </c>
      <c r="N13" s="45">
        <v>33.628</v>
      </c>
      <c r="O13" s="41">
        <v>193.987</v>
      </c>
      <c r="P13" s="46">
        <v>2.83929289620982</v>
      </c>
      <c r="Q13" s="46">
        <v>11.418752868432</v>
      </c>
      <c r="R13" s="47">
        <v>1.70016060353633</v>
      </c>
      <c r="S13" s="47">
        <v>1.70205480412593</v>
      </c>
      <c r="T13" s="48"/>
      <c r="U13" s="48"/>
      <c r="V13" s="46">
        <v>3.36154790246616</v>
      </c>
      <c r="W13" s="46">
        <v>13.0098518641077</v>
      </c>
      <c r="X13" s="47">
        <v>1.65219244575096</v>
      </c>
      <c r="Y13" s="47">
        <v>1.66032618700648</v>
      </c>
      <c r="Z13" s="48"/>
      <c r="AA13" s="48"/>
      <c r="AB13" s="46">
        <v>3.15379106248809</v>
      </c>
      <c r="AC13" s="46">
        <v>12.2276368909241</v>
      </c>
      <c r="AD13" s="47">
        <v>1.60759633290926</v>
      </c>
      <c r="AE13" s="47">
        <v>1.61121774958483</v>
      </c>
      <c r="AF13" s="48"/>
      <c r="AG13" s="48"/>
      <c r="AH13" s="46">
        <v>2.56580176587912</v>
      </c>
      <c r="AI13" s="46">
        <v>10.3635152130118</v>
      </c>
      <c r="AJ13" s="47">
        <v>1.44057985875193</v>
      </c>
      <c r="AK13" s="47">
        <v>1.48657989922157</v>
      </c>
      <c r="AL13" s="48"/>
      <c r="AM13" s="48"/>
      <c r="AN13" s="49">
        <f t="shared" ref="AN13:AN21" si="4">AVERAGE(P13,Q13,V13,W13,AB13,AC13,AH13,AI13)</f>
        <v>7.367523808</v>
      </c>
      <c r="AO13" s="50">
        <f t="shared" ref="AO13:AO21" si="5">AVERAGE(R13,S13,X13,AD13,AE13,Y13,AJ13,AK13)</f>
        <v>1.607588485</v>
      </c>
      <c r="AP13" s="51">
        <f t="shared" ref="AP13:AP21" si="6">AO13 * (180/PI())</f>
        <v>92.10803539</v>
      </c>
      <c r="AQ13" s="52" t="str">
        <f t="shared" ref="AQ13:AQ21" si="7">AVERAGE(T13:U13,Z13:AA13,AF13:AG13,AL13:AM13)</f>
        <v>#DIV/0!</v>
      </c>
      <c r="AR13" s="52" t="str">
        <f t="shared" ref="AR13:AR21" si="8"> AQ13 * (180/PI())</f>
        <v>#DIV/0!</v>
      </c>
      <c r="AS13" s="53"/>
      <c r="AT13" s="54"/>
      <c r="AU13" s="54"/>
      <c r="AV13" s="54"/>
      <c r="AW13" s="54"/>
      <c r="AX13" s="54"/>
    </row>
    <row r="14">
      <c r="A14" s="55" t="s">
        <v>44</v>
      </c>
      <c r="B14" s="56" t="b">
        <v>1</v>
      </c>
      <c r="C14" s="57" t="s">
        <v>36</v>
      </c>
      <c r="D14" s="56" t="s">
        <v>37</v>
      </c>
      <c r="E14" s="6"/>
      <c r="F14" s="56" t="s">
        <v>37</v>
      </c>
      <c r="G14" s="56">
        <v>32.0</v>
      </c>
      <c r="H14" s="6"/>
      <c r="I14" s="6"/>
      <c r="J14" s="58">
        <v>4.8738</v>
      </c>
      <c r="K14" s="56">
        <v>0.1174</v>
      </c>
      <c r="L14" s="56">
        <v>0.2993</v>
      </c>
      <c r="M14" s="59">
        <v>75.497</v>
      </c>
      <c r="N14" s="60">
        <v>33.628</v>
      </c>
      <c r="O14" s="56">
        <v>193.987</v>
      </c>
      <c r="P14" s="61">
        <v>0.952175394931378</v>
      </c>
      <c r="Q14" s="61">
        <v>3.60766432939812</v>
      </c>
      <c r="R14" s="62">
        <v>0.390928638850451</v>
      </c>
      <c r="S14" s="62">
        <v>0.382284885024129</v>
      </c>
      <c r="T14" s="63">
        <v>0.39868997</v>
      </c>
      <c r="U14" s="63">
        <v>0.411268</v>
      </c>
      <c r="V14" s="61">
        <v>1.74382938282867</v>
      </c>
      <c r="W14" s="61">
        <v>6.22385495271079</v>
      </c>
      <c r="X14" s="62">
        <v>0.5331485961748</v>
      </c>
      <c r="Y14" s="62">
        <v>0.511731827118912</v>
      </c>
      <c r="Z14" s="63">
        <v>0.60338249</v>
      </c>
      <c r="AA14" s="63">
        <v>0.59548707</v>
      </c>
      <c r="AB14" s="61">
        <v>1.46754377796763</v>
      </c>
      <c r="AC14" s="61">
        <v>5.15255478690062</v>
      </c>
      <c r="AD14" s="62">
        <v>0.409026839952549</v>
      </c>
      <c r="AE14" s="62">
        <v>0.392302344757666</v>
      </c>
      <c r="AF14" s="63">
        <v>0.3800419</v>
      </c>
      <c r="AG14" s="63">
        <v>0.36948487</v>
      </c>
      <c r="AH14" s="61">
        <v>0.521943770977039</v>
      </c>
      <c r="AI14" s="61">
        <v>1.93755658037395</v>
      </c>
      <c r="AJ14" s="62">
        <v>0.348860606963708</v>
      </c>
      <c r="AK14" s="62">
        <v>0.324948771526174</v>
      </c>
      <c r="AL14" s="63">
        <v>0.36299555</v>
      </c>
      <c r="AM14" s="63">
        <v>0.36402345</v>
      </c>
      <c r="AN14" s="64">
        <f t="shared" si="4"/>
        <v>2.700890372</v>
      </c>
      <c r="AO14" s="65">
        <f t="shared" si="5"/>
        <v>0.4116540638</v>
      </c>
      <c r="AP14" s="66">
        <f t="shared" si="6"/>
        <v>23.58604047</v>
      </c>
      <c r="AQ14" s="67">
        <f t="shared" si="7"/>
        <v>0.4356716625</v>
      </c>
      <c r="AR14" s="68">
        <f t="shared" si="8"/>
        <v>24.96214751</v>
      </c>
      <c r="AS14" s="69"/>
      <c r="AT14" s="70"/>
      <c r="AU14" s="70"/>
      <c r="AV14" s="70"/>
      <c r="AW14" s="70"/>
      <c r="AX14" s="70"/>
    </row>
    <row r="15">
      <c r="A15" s="40" t="s">
        <v>45</v>
      </c>
      <c r="B15" s="41" t="b">
        <v>1</v>
      </c>
      <c r="C15" s="6"/>
      <c r="D15" s="41" t="s">
        <v>37</v>
      </c>
      <c r="E15" s="6"/>
      <c r="F15" s="41" t="s">
        <v>37</v>
      </c>
      <c r="G15" s="71">
        <v>16.0</v>
      </c>
      <c r="H15" s="6"/>
      <c r="I15" s="6"/>
      <c r="J15" s="72">
        <v>1.2289</v>
      </c>
      <c r="K15" s="73">
        <v>0.0587</v>
      </c>
      <c r="L15" s="73">
        <v>0.0759</v>
      </c>
      <c r="M15" s="74">
        <v>37.749</v>
      </c>
      <c r="N15" s="74">
        <v>16.796</v>
      </c>
      <c r="O15" s="73">
        <v>97.518</v>
      </c>
      <c r="P15" s="46">
        <v>1.00341641377019</v>
      </c>
      <c r="Q15" s="46">
        <v>3.82488311205449</v>
      </c>
      <c r="R15" s="47">
        <v>0.476369603673654</v>
      </c>
      <c r="S15" s="47">
        <v>0.466729264487976</v>
      </c>
      <c r="T15" s="48">
        <v>0.36728416</v>
      </c>
      <c r="U15" s="48">
        <v>0.37499679</v>
      </c>
      <c r="V15" s="46">
        <v>1.8059012489566</v>
      </c>
      <c r="W15" s="46">
        <v>6.46107942928569</v>
      </c>
      <c r="X15" s="47">
        <v>0.649652451128399</v>
      </c>
      <c r="Y15" s="47">
        <v>0.632423511110383</v>
      </c>
      <c r="Z15" s="48">
        <v>0.60613294</v>
      </c>
      <c r="AA15" s="48">
        <v>0.58276323</v>
      </c>
      <c r="AB15" s="46">
        <v>1.53826317192263</v>
      </c>
      <c r="AC15" s="46">
        <v>5.42742382622116</v>
      </c>
      <c r="AD15" s="47">
        <v>0.553518423173483</v>
      </c>
      <c r="AE15" s="47">
        <v>0.516369470970068</v>
      </c>
      <c r="AF15" s="48">
        <v>0.44489863</v>
      </c>
      <c r="AG15" s="48">
        <v>0.41334181</v>
      </c>
      <c r="AH15" s="46">
        <v>0.657301459663522</v>
      </c>
      <c r="AI15" s="46">
        <v>2.52693454111841</v>
      </c>
      <c r="AJ15" s="47">
        <v>0.406896847402067</v>
      </c>
      <c r="AK15" s="47">
        <v>0.405602368652362</v>
      </c>
      <c r="AL15" s="48">
        <v>0.38272061</v>
      </c>
      <c r="AM15" s="48">
        <v>0.38150655</v>
      </c>
      <c r="AN15" s="49">
        <f t="shared" si="4"/>
        <v>2.9056504</v>
      </c>
      <c r="AO15" s="50">
        <f t="shared" si="5"/>
        <v>0.5134452426</v>
      </c>
      <c r="AP15" s="51">
        <f t="shared" si="6"/>
        <v>29.41824541</v>
      </c>
      <c r="AQ15" s="75">
        <f t="shared" si="7"/>
        <v>0.44420559</v>
      </c>
      <c r="AR15" s="52">
        <f t="shared" si="8"/>
        <v>25.45110554</v>
      </c>
      <c r="AS15" s="53"/>
      <c r="AT15" s="54"/>
      <c r="AU15" s="54"/>
      <c r="AV15" s="54"/>
      <c r="AW15" s="54"/>
      <c r="AX15" s="54"/>
    </row>
    <row r="16">
      <c r="A16" s="40" t="s">
        <v>46</v>
      </c>
      <c r="B16" s="41" t="b">
        <v>1</v>
      </c>
      <c r="C16" s="6"/>
      <c r="D16" s="41" t="s">
        <v>37</v>
      </c>
      <c r="E16" s="6"/>
      <c r="F16" s="41" t="s">
        <v>37</v>
      </c>
      <c r="G16" s="71">
        <v>8.0</v>
      </c>
      <c r="H16" s="6"/>
      <c r="I16" s="6"/>
      <c r="J16" s="72">
        <v>0.3125</v>
      </c>
      <c r="K16" s="73">
        <v>0.0294</v>
      </c>
      <c r="L16" s="73">
        <v>0.0195</v>
      </c>
      <c r="M16" s="74">
        <v>18.874</v>
      </c>
      <c r="N16" s="74">
        <v>8.393</v>
      </c>
      <c r="O16" s="73">
        <v>49.283</v>
      </c>
      <c r="P16" s="46">
        <v>1.13018979895301</v>
      </c>
      <c r="Q16" s="46">
        <v>4.31361484720325</v>
      </c>
      <c r="R16" s="47">
        <v>0.705875886092151</v>
      </c>
      <c r="S16" s="47">
        <v>0.702711781644277</v>
      </c>
      <c r="T16" s="48">
        <v>0.62639335</v>
      </c>
      <c r="U16" s="48">
        <v>0.61830622</v>
      </c>
      <c r="V16" s="46">
        <v>1.963919271348</v>
      </c>
      <c r="W16" s="46">
        <v>7.09328168278864</v>
      </c>
      <c r="X16" s="47">
        <v>0.838225443491861</v>
      </c>
      <c r="Y16" s="47">
        <v>0.819585700133604</v>
      </c>
      <c r="Z16" s="48">
        <v>0.81518533</v>
      </c>
      <c r="AA16" s="48">
        <v>0.74804864</v>
      </c>
      <c r="AB16" s="46">
        <v>1.69132049607113</v>
      </c>
      <c r="AC16" s="46">
        <v>6.05744343021221</v>
      </c>
      <c r="AD16" s="47">
        <v>0.740449157046549</v>
      </c>
      <c r="AE16" s="47">
        <v>0.717369343183843</v>
      </c>
      <c r="AF16" s="48">
        <v>0.61645214</v>
      </c>
      <c r="AG16" s="48">
        <v>0.5758527</v>
      </c>
      <c r="AH16" s="46">
        <v>0.703225696734298</v>
      </c>
      <c r="AI16" s="46">
        <v>2.69842174274288</v>
      </c>
      <c r="AJ16" s="47">
        <v>0.620498192230755</v>
      </c>
      <c r="AK16" s="47">
        <v>0.649096008581487</v>
      </c>
      <c r="AL16" s="48">
        <v>0.50886916</v>
      </c>
      <c r="AM16" s="48">
        <v>0.5455274</v>
      </c>
      <c r="AN16" s="49">
        <f t="shared" si="4"/>
        <v>3.206427121</v>
      </c>
      <c r="AO16" s="50">
        <f t="shared" si="5"/>
        <v>0.7242264391</v>
      </c>
      <c r="AP16" s="51">
        <f t="shared" si="6"/>
        <v>41.49511837</v>
      </c>
      <c r="AQ16" s="75">
        <f t="shared" si="7"/>
        <v>0.6318293675</v>
      </c>
      <c r="AR16" s="52">
        <f t="shared" si="8"/>
        <v>36.20115613</v>
      </c>
      <c r="AS16" s="53"/>
      <c r="AT16" s="54"/>
      <c r="AU16" s="54"/>
      <c r="AV16" s="54"/>
      <c r="AW16" s="54"/>
      <c r="AX16" s="54"/>
    </row>
    <row r="17">
      <c r="A17" s="40" t="s">
        <v>47</v>
      </c>
      <c r="B17" s="41" t="b">
        <v>1</v>
      </c>
      <c r="C17" s="6"/>
      <c r="D17" s="41" t="s">
        <v>37</v>
      </c>
      <c r="E17" s="6"/>
      <c r="F17" s="41" t="s">
        <v>37</v>
      </c>
      <c r="G17" s="71">
        <v>4.0</v>
      </c>
      <c r="H17" s="6"/>
      <c r="I17" s="15"/>
      <c r="J17" s="72">
        <v>0.0807</v>
      </c>
      <c r="K17" s="73">
        <v>0.0147</v>
      </c>
      <c r="L17" s="73">
        <v>0.0052</v>
      </c>
      <c r="M17" s="74">
        <v>9.437</v>
      </c>
      <c r="N17" s="74">
        <v>4.195</v>
      </c>
      <c r="O17" s="73">
        <v>25.166</v>
      </c>
      <c r="P17" s="46">
        <v>1.23932764266102</v>
      </c>
      <c r="Q17" s="46">
        <v>4.77771195740574</v>
      </c>
      <c r="R17" s="47">
        <v>1.06940945618672</v>
      </c>
      <c r="S17" s="47">
        <v>1.09470918922557</v>
      </c>
      <c r="T17" s="48">
        <v>0.88354426</v>
      </c>
      <c r="U17" s="48">
        <v>0.87783788</v>
      </c>
      <c r="V17" s="46">
        <v>2.09339603985112</v>
      </c>
      <c r="W17" s="46">
        <v>7.68289116240726</v>
      </c>
      <c r="X17" s="47">
        <v>1.23038384636263</v>
      </c>
      <c r="Y17" s="47">
        <v>1.24649768246955</v>
      </c>
      <c r="Z17" s="48">
        <v>1.03153147</v>
      </c>
      <c r="AA17" s="48">
        <v>1.02717889</v>
      </c>
      <c r="AB17" s="46">
        <v>1.83094790812655</v>
      </c>
      <c r="AC17" s="46">
        <v>6.66087610578632</v>
      </c>
      <c r="AD17" s="47">
        <v>1.13676511364717</v>
      </c>
      <c r="AE17" s="47">
        <v>1.15064425292046</v>
      </c>
      <c r="AF17" s="48">
        <v>0.94914114</v>
      </c>
      <c r="AG17" s="48">
        <v>0.93497893</v>
      </c>
      <c r="AH17" s="46">
        <v>0.673077538954143</v>
      </c>
      <c r="AI17" s="46">
        <v>2.55500837302647</v>
      </c>
      <c r="AJ17" s="47">
        <v>0.743737683091376</v>
      </c>
      <c r="AK17" s="47">
        <v>0.704688393564404</v>
      </c>
      <c r="AL17" s="48">
        <v>0.50955594</v>
      </c>
      <c r="AM17" s="48">
        <v>0.4705781</v>
      </c>
      <c r="AN17" s="49">
        <f t="shared" si="4"/>
        <v>3.439154591</v>
      </c>
      <c r="AO17" s="50">
        <f t="shared" si="5"/>
        <v>1.047104452</v>
      </c>
      <c r="AP17" s="76">
        <f t="shared" si="6"/>
        <v>59.99466582</v>
      </c>
      <c r="AQ17" s="75">
        <f t="shared" si="7"/>
        <v>0.8355433263</v>
      </c>
      <c r="AR17" s="52">
        <f t="shared" si="8"/>
        <v>47.87310619</v>
      </c>
      <c r="AS17" s="54"/>
      <c r="AT17" s="54"/>
      <c r="AU17" s="54"/>
      <c r="AV17" s="54"/>
      <c r="AW17" s="54"/>
      <c r="AX17" s="54"/>
    </row>
    <row r="18">
      <c r="A18" s="40" t="s">
        <v>48</v>
      </c>
      <c r="B18" s="41" t="b">
        <v>1</v>
      </c>
      <c r="C18" s="6"/>
      <c r="D18" s="41" t="s">
        <v>37</v>
      </c>
      <c r="E18" s="6"/>
      <c r="F18" s="41" t="s">
        <v>37</v>
      </c>
      <c r="G18" s="41">
        <v>32.0</v>
      </c>
      <c r="H18" s="6"/>
      <c r="I18" s="77">
        <v>6.0</v>
      </c>
      <c r="J18" s="43">
        <v>3.6658</v>
      </c>
      <c r="K18" s="41">
        <v>0.0839</v>
      </c>
      <c r="L18" s="41">
        <v>0.225</v>
      </c>
      <c r="M18" s="45">
        <v>67.109</v>
      </c>
      <c r="N18" s="45">
        <v>33.628</v>
      </c>
      <c r="O18" s="41">
        <v>143.655</v>
      </c>
      <c r="P18" s="46">
        <v>0.990061948003603</v>
      </c>
      <c r="Q18" s="46">
        <v>3.75296679997775</v>
      </c>
      <c r="R18" s="47">
        <v>0.465473846692772</v>
      </c>
      <c r="S18" s="47">
        <v>0.461029594334959</v>
      </c>
      <c r="T18" s="48">
        <v>0.39193665</v>
      </c>
      <c r="U18" s="48">
        <v>0.39324647</v>
      </c>
      <c r="V18" s="46">
        <v>1.82268620751483</v>
      </c>
      <c r="W18" s="46">
        <v>6.50582677001461</v>
      </c>
      <c r="X18" s="47">
        <v>0.662716607483437</v>
      </c>
      <c r="Y18" s="47">
        <v>0.639249484402983</v>
      </c>
      <c r="Z18" s="48">
        <v>0.68662086</v>
      </c>
      <c r="AA18" s="48">
        <v>0.64069883</v>
      </c>
      <c r="AB18" s="46">
        <v>1.54823665807353</v>
      </c>
      <c r="AC18" s="46">
        <v>5.45891244636682</v>
      </c>
      <c r="AD18" s="47">
        <v>0.562700351977094</v>
      </c>
      <c r="AE18" s="47">
        <v>0.524680536271078</v>
      </c>
      <c r="AF18" s="48">
        <v>0.5910199</v>
      </c>
      <c r="AG18" s="48">
        <v>0.54701514</v>
      </c>
      <c r="AH18" s="46">
        <v>0.58381706027727</v>
      </c>
      <c r="AI18" s="46">
        <v>2.2073580561425</v>
      </c>
      <c r="AJ18" s="47">
        <v>0.351509846084261</v>
      </c>
      <c r="AK18" s="47">
        <v>0.348821063355815</v>
      </c>
      <c r="AL18" s="48">
        <v>0.36252565</v>
      </c>
      <c r="AM18" s="48">
        <v>0.36558868</v>
      </c>
      <c r="AN18" s="49">
        <f t="shared" si="4"/>
        <v>2.858733243</v>
      </c>
      <c r="AO18" s="50">
        <f t="shared" si="5"/>
        <v>0.5020226663</v>
      </c>
      <c r="AP18" s="76">
        <f t="shared" si="6"/>
        <v>28.76378</v>
      </c>
      <c r="AQ18" s="75">
        <f t="shared" si="7"/>
        <v>0.4973315225</v>
      </c>
      <c r="AR18" s="52">
        <f t="shared" si="8"/>
        <v>28.49499726</v>
      </c>
      <c r="AS18" s="54"/>
      <c r="AT18" s="54"/>
      <c r="AU18" s="54"/>
      <c r="AV18" s="54"/>
      <c r="AW18" s="54"/>
      <c r="AX18" s="54"/>
    </row>
    <row r="19">
      <c r="A19" s="40" t="s">
        <v>49</v>
      </c>
      <c r="B19" s="41" t="b">
        <v>1</v>
      </c>
      <c r="C19" s="6"/>
      <c r="D19" s="41" t="s">
        <v>37</v>
      </c>
      <c r="E19" s="6"/>
      <c r="F19" s="41" t="s">
        <v>37</v>
      </c>
      <c r="G19" s="71">
        <v>16.0</v>
      </c>
      <c r="H19" s="6"/>
      <c r="I19" s="6"/>
      <c r="J19" s="43">
        <v>0.9269</v>
      </c>
      <c r="K19" s="41">
        <v>0.0419</v>
      </c>
      <c r="L19" s="41">
        <v>0.0572</v>
      </c>
      <c r="M19" s="45">
        <v>33.554</v>
      </c>
      <c r="N19" s="45">
        <v>16.796</v>
      </c>
      <c r="O19" s="41">
        <v>72.352</v>
      </c>
      <c r="P19" s="46">
        <v>1.00123611548633</v>
      </c>
      <c r="Q19" s="46">
        <v>3.80115424194078</v>
      </c>
      <c r="R19" s="47">
        <v>0.453999993134926</v>
      </c>
      <c r="S19" s="47">
        <v>0.443044575118832</v>
      </c>
      <c r="T19" s="48">
        <v>0.48170062</v>
      </c>
      <c r="U19" s="48">
        <v>0.46551864</v>
      </c>
      <c r="V19" s="46">
        <v>1.79306347552916</v>
      </c>
      <c r="W19" s="46">
        <v>6.41952274554461</v>
      </c>
      <c r="X19" s="47">
        <v>0.578935396865552</v>
      </c>
      <c r="Y19" s="47">
        <v>0.559614586021267</v>
      </c>
      <c r="Z19" s="48">
        <v>0.70445214</v>
      </c>
      <c r="AA19" s="48">
        <v>0.66504269</v>
      </c>
      <c r="AB19" s="46">
        <v>1.53550835279465</v>
      </c>
      <c r="AC19" s="46">
        <v>5.43116069717447</v>
      </c>
      <c r="AD19" s="47">
        <v>0.494677462416706</v>
      </c>
      <c r="AE19" s="47">
        <v>0.474636082590505</v>
      </c>
      <c r="AF19" s="48">
        <v>0.54119872</v>
      </c>
      <c r="AG19" s="48">
        <v>0.50218264</v>
      </c>
      <c r="AH19" s="46">
        <v>0.572243506084194</v>
      </c>
      <c r="AI19" s="46">
        <v>2.13764781604784</v>
      </c>
      <c r="AJ19" s="47">
        <v>0.427027158977731</v>
      </c>
      <c r="AK19" s="47">
        <v>0.403451176695404</v>
      </c>
      <c r="AL19" s="48">
        <v>0.46433659</v>
      </c>
      <c r="AM19" s="48">
        <v>0.44428533</v>
      </c>
      <c r="AN19" s="49">
        <f t="shared" si="4"/>
        <v>2.836442119</v>
      </c>
      <c r="AO19" s="50">
        <f t="shared" si="5"/>
        <v>0.479423304</v>
      </c>
      <c r="AP19" s="76">
        <f t="shared" si="6"/>
        <v>27.46893192</v>
      </c>
      <c r="AQ19" s="75">
        <f t="shared" si="7"/>
        <v>0.5335896713</v>
      </c>
      <c r="AR19" s="52">
        <f t="shared" si="8"/>
        <v>30.57243615</v>
      </c>
      <c r="AS19" s="54"/>
      <c r="AT19" s="54"/>
      <c r="AU19" s="54"/>
      <c r="AV19" s="54"/>
      <c r="AW19" s="54"/>
      <c r="AX19" s="54"/>
    </row>
    <row r="20">
      <c r="A20" s="40" t="s">
        <v>50</v>
      </c>
      <c r="B20" s="41" t="b">
        <v>1</v>
      </c>
      <c r="C20" s="6"/>
      <c r="D20" s="41" t="s">
        <v>37</v>
      </c>
      <c r="E20" s="6"/>
      <c r="F20" s="41" t="s">
        <v>37</v>
      </c>
      <c r="G20" s="71">
        <v>8.0</v>
      </c>
      <c r="H20" s="6"/>
      <c r="I20" s="6"/>
      <c r="J20" s="43">
        <v>0.237</v>
      </c>
      <c r="K20" s="41">
        <v>0.021</v>
      </c>
      <c r="L20" s="41">
        <v>0.0148</v>
      </c>
      <c r="M20" s="45">
        <v>16.777</v>
      </c>
      <c r="N20" s="45">
        <v>8.393</v>
      </c>
      <c r="O20" s="41">
        <v>36.7</v>
      </c>
      <c r="P20" s="46">
        <v>1.21118286500597</v>
      </c>
      <c r="Q20" s="46">
        <v>4.6575942533088</v>
      </c>
      <c r="R20" s="47">
        <v>0.98510355467166</v>
      </c>
      <c r="S20" s="47">
        <v>0.99196753121581</v>
      </c>
      <c r="T20" s="48">
        <v>0.70877378</v>
      </c>
      <c r="U20" s="48">
        <v>0.69736718</v>
      </c>
      <c r="V20" s="46">
        <v>2.01644672761182</v>
      </c>
      <c r="W20" s="46">
        <v>7.34679842237047</v>
      </c>
      <c r="X20" s="47">
        <v>1.02510442304807</v>
      </c>
      <c r="Y20" s="47">
        <v>1.0305750898828</v>
      </c>
      <c r="Z20" s="48">
        <v>0.86716279</v>
      </c>
      <c r="AA20" s="48">
        <v>0.83255139</v>
      </c>
      <c r="AB20" s="46">
        <v>1.75073951189884</v>
      </c>
      <c r="AC20" s="46">
        <v>6.31315796834243</v>
      </c>
      <c r="AD20" s="47">
        <v>0.941480388776144</v>
      </c>
      <c r="AE20" s="47">
        <v>0.935478248279513</v>
      </c>
      <c r="AF20" s="48">
        <v>0.76320748</v>
      </c>
      <c r="AG20" s="48">
        <v>0.72854065</v>
      </c>
      <c r="AH20" s="46">
        <v>0.768879277590455</v>
      </c>
      <c r="AI20" s="46">
        <v>2.93396040287623</v>
      </c>
      <c r="AJ20" s="47">
        <v>0.785776864525162</v>
      </c>
      <c r="AK20" s="47">
        <v>0.790384308034735</v>
      </c>
      <c r="AL20" s="48">
        <v>0.69852741</v>
      </c>
      <c r="AM20" s="48">
        <v>0.67556427</v>
      </c>
      <c r="AN20" s="49">
        <f t="shared" si="4"/>
        <v>3.374844929</v>
      </c>
      <c r="AO20" s="50">
        <f t="shared" si="5"/>
        <v>0.9357338011</v>
      </c>
      <c r="AP20" s="76">
        <f t="shared" si="6"/>
        <v>53.61359755</v>
      </c>
      <c r="AQ20" s="75">
        <f t="shared" si="7"/>
        <v>0.7464618688</v>
      </c>
      <c r="AR20" s="52">
        <f t="shared" si="8"/>
        <v>42.76911465</v>
      </c>
      <c r="AS20" s="54"/>
      <c r="AT20" s="54"/>
      <c r="AU20" s="54"/>
      <c r="AV20" s="54"/>
      <c r="AW20" s="54"/>
      <c r="AX20" s="54"/>
    </row>
    <row r="21">
      <c r="A21" s="40" t="s">
        <v>51</v>
      </c>
      <c r="B21" s="41" t="b">
        <v>1</v>
      </c>
      <c r="C21" s="15"/>
      <c r="D21" s="41" t="s">
        <v>37</v>
      </c>
      <c r="E21" s="15"/>
      <c r="F21" s="41" t="s">
        <v>37</v>
      </c>
      <c r="G21" s="71">
        <v>4.0</v>
      </c>
      <c r="H21" s="15"/>
      <c r="I21" s="15"/>
      <c r="J21" s="43">
        <v>0.0619</v>
      </c>
      <c r="K21" s="41">
        <v>0.0105</v>
      </c>
      <c r="L21" s="41">
        <v>0.0039</v>
      </c>
      <c r="M21" s="45">
        <v>8.389</v>
      </c>
      <c r="N21" s="45">
        <v>4.195</v>
      </c>
      <c r="O21" s="41">
        <v>18.874</v>
      </c>
      <c r="P21" s="46">
        <v>1.34732452677858</v>
      </c>
      <c r="Q21" s="46">
        <v>5.21130131004251</v>
      </c>
      <c r="R21" s="47">
        <v>1.34660777234223</v>
      </c>
      <c r="S21" s="47">
        <v>1.36955378878111</v>
      </c>
      <c r="T21" s="48">
        <v>1.22128668</v>
      </c>
      <c r="U21" s="48">
        <v>1.2059493</v>
      </c>
      <c r="V21" s="46">
        <v>2.16999464138133</v>
      </c>
      <c r="W21" s="46">
        <v>7.97096328146192</v>
      </c>
      <c r="X21" s="47">
        <v>1.42737981362333</v>
      </c>
      <c r="Y21" s="47">
        <v>1.4469756934356</v>
      </c>
      <c r="Z21" s="48">
        <v>1.4496995</v>
      </c>
      <c r="AA21" s="48">
        <v>1.43960468</v>
      </c>
      <c r="AB21" s="46">
        <v>1.91596435634858</v>
      </c>
      <c r="AC21" s="46">
        <v>6.9982493142634</v>
      </c>
      <c r="AD21" s="47">
        <v>1.31032271765819</v>
      </c>
      <c r="AE21" s="47">
        <v>1.31527279638128</v>
      </c>
      <c r="AF21" s="48">
        <v>1.31054669</v>
      </c>
      <c r="AG21" s="48">
        <v>1.2944832</v>
      </c>
      <c r="AH21" s="46">
        <v>0.850338413050788</v>
      </c>
      <c r="AI21" s="46">
        <v>3.30698174835317</v>
      </c>
      <c r="AJ21" s="47">
        <v>1.15990199994509</v>
      </c>
      <c r="AK21" s="47">
        <v>1.17186837442269</v>
      </c>
      <c r="AL21" s="48">
        <v>0.82278164</v>
      </c>
      <c r="AM21" s="48">
        <v>0.85380621</v>
      </c>
      <c r="AN21" s="49">
        <f t="shared" si="4"/>
        <v>3.721389699</v>
      </c>
      <c r="AO21" s="50">
        <f t="shared" si="5"/>
        <v>1.31848537</v>
      </c>
      <c r="AP21" s="76">
        <f t="shared" si="6"/>
        <v>75.54364703</v>
      </c>
      <c r="AQ21" s="75">
        <f t="shared" si="7"/>
        <v>1.199769738</v>
      </c>
      <c r="AR21" s="52">
        <f t="shared" si="8"/>
        <v>68.74174235</v>
      </c>
      <c r="AS21" s="54"/>
      <c r="AT21" s="54"/>
      <c r="AU21" s="54"/>
      <c r="AV21" s="54"/>
      <c r="AW21" s="54"/>
      <c r="AX21" s="54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78"/>
      <c r="K22" s="78"/>
      <c r="L22" s="78"/>
      <c r="M22" s="79"/>
      <c r="N22" s="78"/>
      <c r="O22" s="7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80"/>
      <c r="AQ22" s="80"/>
      <c r="AR22" s="80"/>
      <c r="AS22" s="38"/>
      <c r="AT22" s="38"/>
      <c r="AU22" s="38"/>
      <c r="AV22" s="38"/>
      <c r="AW22" s="38"/>
      <c r="AX22" s="38"/>
    </row>
    <row r="23">
      <c r="A23" s="81" t="s">
        <v>52</v>
      </c>
      <c r="B23" s="82" t="b">
        <v>1</v>
      </c>
      <c r="C23" s="83" t="s">
        <v>36</v>
      </c>
      <c r="D23" s="82" t="s">
        <v>37</v>
      </c>
      <c r="E23" s="83" t="s">
        <v>38</v>
      </c>
      <c r="F23" s="82" t="s">
        <v>37</v>
      </c>
      <c r="G23" s="82">
        <v>32.0</v>
      </c>
      <c r="H23" s="83" t="s">
        <v>39</v>
      </c>
      <c r="I23" s="83">
        <v>8.0</v>
      </c>
      <c r="J23" s="82">
        <v>3.6658</v>
      </c>
      <c r="K23" s="82">
        <v>0.1174</v>
      </c>
      <c r="L23" s="82">
        <v>0.2255</v>
      </c>
      <c r="M23" s="84">
        <v>58.72</v>
      </c>
      <c r="N23" s="84">
        <v>16.851</v>
      </c>
      <c r="O23" s="82">
        <v>177.209</v>
      </c>
      <c r="P23" s="85">
        <v>1.21945490082506</v>
      </c>
      <c r="Q23" s="85">
        <v>4.66944280638082</v>
      </c>
      <c r="R23" s="85">
        <v>0.98725116962993</v>
      </c>
      <c r="S23" s="85">
        <v>0.985746630415457</v>
      </c>
      <c r="T23" s="85"/>
      <c r="U23" s="85"/>
      <c r="V23" s="85">
        <v>2.03630925028472</v>
      </c>
      <c r="W23" s="85">
        <v>7.41962751245212</v>
      </c>
      <c r="X23" s="85">
        <v>1.11501701673353</v>
      </c>
      <c r="Y23" s="85">
        <v>1.12839232690539</v>
      </c>
      <c r="Z23" s="85"/>
      <c r="AA23" s="85"/>
      <c r="AB23" s="85">
        <v>1.78671374606744</v>
      </c>
      <c r="AC23" s="85">
        <v>6.46194755920889</v>
      </c>
      <c r="AD23" s="85">
        <v>1.06099269550198</v>
      </c>
      <c r="AE23" s="85">
        <v>1.06917394917313</v>
      </c>
      <c r="AF23" s="85"/>
      <c r="AG23" s="85"/>
      <c r="AH23" s="85">
        <v>0.707373414924031</v>
      </c>
      <c r="AI23" s="85">
        <v>2.72427547942499</v>
      </c>
      <c r="AJ23" s="85">
        <v>0.516450946971409</v>
      </c>
      <c r="AK23" s="85">
        <v>0.500714865192078</v>
      </c>
      <c r="AL23" s="85"/>
      <c r="AM23" s="85"/>
      <c r="AN23" s="86">
        <f t="shared" ref="AN23:AN30" si="9">AVERAGE(P23,Q23,V23,W23,AB23,AC23,AH23,AI23)</f>
        <v>3.378143084</v>
      </c>
      <c r="AO23" s="86">
        <f t="shared" ref="AO23:AO30" si="10">AVERAGE(R23,S23,X23,AD23,AE23,Y23,AJ23,AK23)</f>
        <v>0.9204674501</v>
      </c>
      <c r="AP23" s="87">
        <f t="shared" ref="AP23:AP30" si="11">AO23 * (180/PI())</f>
        <v>52.73890007</v>
      </c>
      <c r="AQ23" s="87"/>
      <c r="AR23" s="87"/>
      <c r="AS23" s="38"/>
      <c r="AT23" s="38"/>
      <c r="AU23" s="38"/>
      <c r="AV23" s="38"/>
      <c r="AW23" s="38"/>
      <c r="AX23" s="38"/>
    </row>
    <row r="24">
      <c r="A24" s="81" t="s">
        <v>53</v>
      </c>
      <c r="B24" s="82" t="b">
        <v>1</v>
      </c>
      <c r="C24" s="6"/>
      <c r="D24" s="82" t="s">
        <v>37</v>
      </c>
      <c r="E24" s="6"/>
      <c r="F24" s="82" t="s">
        <v>37</v>
      </c>
      <c r="G24" s="88">
        <v>16.0</v>
      </c>
      <c r="H24" s="6"/>
      <c r="I24" s="6"/>
      <c r="J24" s="82">
        <v>0.9269</v>
      </c>
      <c r="K24" s="82">
        <v>0.0587</v>
      </c>
      <c r="L24" s="82">
        <v>0.0575</v>
      </c>
      <c r="M24" s="84">
        <v>29.36</v>
      </c>
      <c r="N24" s="84">
        <v>8.407</v>
      </c>
      <c r="O24" s="82">
        <v>89.129</v>
      </c>
      <c r="P24" s="85">
        <v>1.37224735306681</v>
      </c>
      <c r="Q24" s="85">
        <v>5.29545207224998</v>
      </c>
      <c r="R24" s="85">
        <v>1.464816043371</v>
      </c>
      <c r="S24" s="85">
        <v>1.47039595581312</v>
      </c>
      <c r="T24" s="85"/>
      <c r="U24" s="85"/>
      <c r="V24" s="85">
        <v>2.17354578631651</v>
      </c>
      <c r="W24" s="85">
        <v>7.9605057436461</v>
      </c>
      <c r="X24" s="85">
        <v>1.46253824322802</v>
      </c>
      <c r="Y24" s="85">
        <v>1.47387568568385</v>
      </c>
      <c r="Z24" s="85"/>
      <c r="AA24" s="85"/>
      <c r="AB24" s="85">
        <v>1.91275906626362</v>
      </c>
      <c r="AC24" s="85">
        <v>6.95825898760049</v>
      </c>
      <c r="AD24" s="85">
        <v>1.35266535339722</v>
      </c>
      <c r="AE24" s="85">
        <v>1.35336559451548</v>
      </c>
      <c r="AF24" s="85"/>
      <c r="AG24" s="85"/>
      <c r="AH24" s="85">
        <v>0.956730790967137</v>
      </c>
      <c r="AI24" s="85">
        <v>3.72275078833594</v>
      </c>
      <c r="AJ24" s="85">
        <v>1.08936896341794</v>
      </c>
      <c r="AK24" s="85">
        <v>1.11106660306113</v>
      </c>
      <c r="AL24" s="85"/>
      <c r="AM24" s="85"/>
      <c r="AN24" s="86">
        <f t="shared" si="9"/>
        <v>3.794031324</v>
      </c>
      <c r="AO24" s="86">
        <f t="shared" si="10"/>
        <v>1.347261555</v>
      </c>
      <c r="AP24" s="87">
        <f t="shared" si="11"/>
        <v>77.19240102</v>
      </c>
      <c r="AQ24" s="87"/>
      <c r="AR24" s="87"/>
      <c r="AS24" s="38"/>
      <c r="AT24" s="38"/>
      <c r="AU24" s="38"/>
      <c r="AV24" s="38"/>
      <c r="AW24" s="38"/>
      <c r="AX24" s="38"/>
    </row>
    <row r="25">
      <c r="A25" s="81" t="s">
        <v>54</v>
      </c>
      <c r="B25" s="82" t="b">
        <v>1</v>
      </c>
      <c r="C25" s="6"/>
      <c r="D25" s="82" t="s">
        <v>37</v>
      </c>
      <c r="E25" s="6"/>
      <c r="F25" s="82" t="s">
        <v>37</v>
      </c>
      <c r="G25" s="88">
        <v>8.0</v>
      </c>
      <c r="H25" s="6"/>
      <c r="I25" s="6"/>
      <c r="J25" s="82">
        <v>0.237</v>
      </c>
      <c r="K25" s="82">
        <v>0.0294</v>
      </c>
      <c r="L25" s="82">
        <v>0.0149</v>
      </c>
      <c r="M25" s="84">
        <v>14.68</v>
      </c>
      <c r="N25" s="84">
        <v>4.199</v>
      </c>
      <c r="O25" s="82">
        <v>45.089</v>
      </c>
      <c r="P25" s="85">
        <v>1.36404036747427</v>
      </c>
      <c r="Q25" s="85">
        <v>5.27281960571257</v>
      </c>
      <c r="R25" s="85">
        <v>1.33865158936861</v>
      </c>
      <c r="S25" s="85">
        <v>1.34729224622179</v>
      </c>
      <c r="T25" s="85"/>
      <c r="U25" s="85"/>
      <c r="V25" s="85">
        <v>2.20390142463241</v>
      </c>
      <c r="W25" s="85">
        <v>8.12410882195654</v>
      </c>
      <c r="X25" s="85">
        <v>1.4252415370257</v>
      </c>
      <c r="Y25" s="85">
        <v>1.43142387747029</v>
      </c>
      <c r="Z25" s="85"/>
      <c r="AA25" s="85"/>
      <c r="AB25" s="85">
        <v>1.96109609263345</v>
      </c>
      <c r="AC25" s="85">
        <v>7.18792795164607</v>
      </c>
      <c r="AD25" s="85">
        <v>1.42425068139937</v>
      </c>
      <c r="AE25" s="85">
        <v>1.43847887997152</v>
      </c>
      <c r="AF25" s="85"/>
      <c r="AG25" s="85"/>
      <c r="AH25" s="85">
        <v>0.927172291326869</v>
      </c>
      <c r="AI25" s="85">
        <v>3.56338695761309</v>
      </c>
      <c r="AJ25" s="85">
        <v>1.21747941350012</v>
      </c>
      <c r="AK25" s="85">
        <v>1.21313572914987</v>
      </c>
      <c r="AL25" s="85"/>
      <c r="AM25" s="85"/>
      <c r="AN25" s="86">
        <f t="shared" si="9"/>
        <v>3.825556689</v>
      </c>
      <c r="AO25" s="86">
        <f t="shared" si="10"/>
        <v>1.354494244</v>
      </c>
      <c r="AP25" s="87">
        <f t="shared" si="11"/>
        <v>77.60680357</v>
      </c>
      <c r="AQ25" s="87"/>
      <c r="AR25" s="87"/>
      <c r="AS25" s="38"/>
      <c r="AT25" s="38"/>
      <c r="AU25" s="38"/>
      <c r="AV25" s="38"/>
      <c r="AW25" s="38"/>
      <c r="AX25" s="38"/>
    </row>
    <row r="26">
      <c r="A26" s="81" t="s">
        <v>55</v>
      </c>
      <c r="B26" s="82" t="b">
        <v>1</v>
      </c>
      <c r="C26" s="6"/>
      <c r="D26" s="82" t="s">
        <v>37</v>
      </c>
      <c r="E26" s="6"/>
      <c r="F26" s="82" t="s">
        <v>37</v>
      </c>
      <c r="G26" s="88">
        <v>4.0</v>
      </c>
      <c r="H26" s="6"/>
      <c r="I26" s="15"/>
      <c r="J26" s="82">
        <v>0.0619</v>
      </c>
      <c r="K26" s="82">
        <v>0.0147</v>
      </c>
      <c r="L26" s="82">
        <v>0.004</v>
      </c>
      <c r="M26" s="84">
        <v>7.34</v>
      </c>
      <c r="N26" s="84">
        <v>2.098</v>
      </c>
      <c r="O26" s="82">
        <v>23.069</v>
      </c>
      <c r="P26" s="85">
        <v>1.37462596156493</v>
      </c>
      <c r="Q26" s="85">
        <v>5.31720731084853</v>
      </c>
      <c r="R26" s="85">
        <v>1.40676200659856</v>
      </c>
      <c r="S26" s="85">
        <v>1.43846713919136</v>
      </c>
      <c r="T26" s="85"/>
      <c r="U26" s="85"/>
      <c r="V26" s="85">
        <v>2.19037679681722</v>
      </c>
      <c r="W26" s="85">
        <v>8.05039120746382</v>
      </c>
      <c r="X26" s="85">
        <v>1.44318342264853</v>
      </c>
      <c r="Y26" s="85">
        <v>1.45844630503563</v>
      </c>
      <c r="Z26" s="85"/>
      <c r="AA26" s="85"/>
      <c r="AB26" s="85">
        <v>1.94477508357485</v>
      </c>
      <c r="AC26" s="85">
        <v>7.11216846924058</v>
      </c>
      <c r="AD26" s="85">
        <v>1.40518191902499</v>
      </c>
      <c r="AE26" s="85">
        <v>1.4119207110444</v>
      </c>
      <c r="AF26" s="85"/>
      <c r="AG26" s="85"/>
      <c r="AH26" s="85">
        <v>0.995448718233692</v>
      </c>
      <c r="AI26" s="85">
        <v>3.84818832004761</v>
      </c>
      <c r="AJ26" s="85">
        <v>1.36812171212118</v>
      </c>
      <c r="AK26" s="85">
        <v>1.39935916468074</v>
      </c>
      <c r="AL26" s="85"/>
      <c r="AM26" s="85"/>
      <c r="AN26" s="86">
        <f t="shared" si="9"/>
        <v>3.854147733</v>
      </c>
      <c r="AO26" s="86">
        <f t="shared" si="10"/>
        <v>1.416430298</v>
      </c>
      <c r="AP26" s="87">
        <f t="shared" si="11"/>
        <v>81.15547802</v>
      </c>
      <c r="AQ26" s="87"/>
      <c r="AR26" s="87"/>
      <c r="AS26" s="38"/>
      <c r="AT26" s="38"/>
      <c r="AU26" s="38"/>
      <c r="AV26" s="38"/>
      <c r="AW26" s="38"/>
      <c r="AX26" s="38"/>
    </row>
    <row r="27">
      <c r="A27" s="81" t="s">
        <v>56</v>
      </c>
      <c r="B27" s="82" t="b">
        <v>1</v>
      </c>
      <c r="C27" s="6"/>
      <c r="D27" s="82" t="s">
        <v>37</v>
      </c>
      <c r="E27" s="6"/>
      <c r="F27" s="82" t="s">
        <v>37</v>
      </c>
      <c r="G27" s="82">
        <v>32.0</v>
      </c>
      <c r="H27" s="6"/>
      <c r="I27" s="89">
        <v>6.0</v>
      </c>
      <c r="J27" s="82">
        <v>2.4579</v>
      </c>
      <c r="K27" s="82">
        <v>0.0839</v>
      </c>
      <c r="L27" s="82">
        <v>0.1513</v>
      </c>
      <c r="M27" s="84">
        <v>50.332</v>
      </c>
      <c r="N27" s="84">
        <v>16.814</v>
      </c>
      <c r="O27" s="82">
        <v>126.878</v>
      </c>
      <c r="P27" s="85">
        <v>1.26555436559058</v>
      </c>
      <c r="Q27" s="85">
        <v>4.86636008496445</v>
      </c>
      <c r="R27" s="85">
        <v>1.01782863786195</v>
      </c>
      <c r="S27" s="85">
        <v>1.00414116618719</v>
      </c>
      <c r="T27" s="85"/>
      <c r="U27" s="85"/>
      <c r="V27" s="85">
        <v>2.07240603480636</v>
      </c>
      <c r="W27" s="85">
        <v>7.5683975014879</v>
      </c>
      <c r="X27" s="85">
        <v>1.13995362832552</v>
      </c>
      <c r="Y27" s="85">
        <v>1.13128418811852</v>
      </c>
      <c r="Z27" s="85"/>
      <c r="AA27" s="85"/>
      <c r="AB27" s="85">
        <v>1.8169111516546</v>
      </c>
      <c r="AC27" s="85">
        <v>6.59654671356353</v>
      </c>
      <c r="AD27" s="85">
        <v>1.09157228473315</v>
      </c>
      <c r="AE27" s="85">
        <v>1.08760257885552</v>
      </c>
      <c r="AF27" s="85"/>
      <c r="AG27" s="85"/>
      <c r="AH27" s="85">
        <v>1.080094324697</v>
      </c>
      <c r="AI27" s="85">
        <v>4.13244709670989</v>
      </c>
      <c r="AJ27" s="85">
        <v>0.964038097041013</v>
      </c>
      <c r="AK27" s="85">
        <v>0.96641007774517</v>
      </c>
      <c r="AL27" s="85"/>
      <c r="AM27" s="85"/>
      <c r="AN27" s="86">
        <f t="shared" si="9"/>
        <v>3.674839659</v>
      </c>
      <c r="AO27" s="86">
        <f t="shared" si="10"/>
        <v>1.050353832</v>
      </c>
      <c r="AP27" s="87">
        <f t="shared" si="11"/>
        <v>60.18084159</v>
      </c>
      <c r="AQ27" s="87"/>
      <c r="AR27" s="87"/>
      <c r="AS27" s="38"/>
      <c r="AT27" s="38"/>
      <c r="AU27" s="38"/>
      <c r="AV27" s="38"/>
      <c r="AW27" s="38"/>
      <c r="AX27" s="38"/>
    </row>
    <row r="28">
      <c r="A28" s="81" t="s">
        <v>57</v>
      </c>
      <c r="B28" s="82" t="b">
        <v>1</v>
      </c>
      <c r="C28" s="6"/>
      <c r="D28" s="82" t="s">
        <v>37</v>
      </c>
      <c r="E28" s="6"/>
      <c r="F28" s="82" t="s">
        <v>37</v>
      </c>
      <c r="G28" s="88">
        <v>16.0</v>
      </c>
      <c r="H28" s="6"/>
      <c r="I28" s="6"/>
      <c r="J28" s="82">
        <v>0.625</v>
      </c>
      <c r="K28" s="82">
        <v>0.0419</v>
      </c>
      <c r="L28" s="82">
        <v>0.0388</v>
      </c>
      <c r="M28" s="84">
        <v>25.166</v>
      </c>
      <c r="N28" s="84">
        <v>8.398</v>
      </c>
      <c r="O28" s="82">
        <v>63.963</v>
      </c>
      <c r="P28" s="85">
        <v>1.29493921296672</v>
      </c>
      <c r="Q28" s="85">
        <v>4.97426716506518</v>
      </c>
      <c r="R28" s="85">
        <v>1.21119611526178</v>
      </c>
      <c r="S28" s="85">
        <v>1.21640078559786</v>
      </c>
      <c r="T28" s="85"/>
      <c r="U28" s="85"/>
      <c r="V28" s="85">
        <v>2.14038650567387</v>
      </c>
      <c r="W28" s="85">
        <v>7.84375891465181</v>
      </c>
      <c r="X28" s="85">
        <v>1.3558206269704</v>
      </c>
      <c r="Y28" s="85">
        <v>1.35960413226505</v>
      </c>
      <c r="Z28" s="85"/>
      <c r="AA28" s="85"/>
      <c r="AB28" s="85">
        <v>1.89173370299799</v>
      </c>
      <c r="AC28" s="85">
        <v>6.89585941595415</v>
      </c>
      <c r="AD28" s="85">
        <v>1.29809495739327</v>
      </c>
      <c r="AE28" s="85">
        <v>1.30602662865817</v>
      </c>
      <c r="AF28" s="85"/>
      <c r="AG28" s="85"/>
      <c r="AH28" s="85">
        <v>0.864263138471643</v>
      </c>
      <c r="AI28" s="85">
        <v>3.27340207418117</v>
      </c>
      <c r="AJ28" s="85">
        <v>1.02860476916114</v>
      </c>
      <c r="AK28" s="85">
        <v>0.993403213960875</v>
      </c>
      <c r="AL28" s="85"/>
      <c r="AM28" s="85"/>
      <c r="AN28" s="86">
        <f t="shared" si="9"/>
        <v>3.647326266</v>
      </c>
      <c r="AO28" s="86">
        <f t="shared" si="10"/>
        <v>1.221143904</v>
      </c>
      <c r="AP28" s="87">
        <f t="shared" si="11"/>
        <v>69.96639186</v>
      </c>
      <c r="AQ28" s="87"/>
      <c r="AR28" s="87"/>
      <c r="AS28" s="38"/>
      <c r="AT28" s="38"/>
      <c r="AU28" s="38"/>
      <c r="AV28" s="38"/>
      <c r="AW28" s="38"/>
      <c r="AX28" s="38"/>
    </row>
    <row r="29">
      <c r="A29" s="81" t="s">
        <v>58</v>
      </c>
      <c r="B29" s="82" t="b">
        <v>1</v>
      </c>
      <c r="C29" s="6"/>
      <c r="D29" s="82" t="s">
        <v>37</v>
      </c>
      <c r="E29" s="6"/>
      <c r="F29" s="82" t="s">
        <v>37</v>
      </c>
      <c r="G29" s="88">
        <v>8.0</v>
      </c>
      <c r="H29" s="6"/>
      <c r="I29" s="6"/>
      <c r="J29" s="82">
        <v>0.1615</v>
      </c>
      <c r="K29" s="82">
        <v>0.021</v>
      </c>
      <c r="L29" s="82">
        <v>0.0102</v>
      </c>
      <c r="M29" s="84">
        <v>12.583</v>
      </c>
      <c r="N29" s="84">
        <v>4.197</v>
      </c>
      <c r="O29" s="82">
        <v>32.506</v>
      </c>
      <c r="P29" s="85">
        <v>1.32873026528212</v>
      </c>
      <c r="Q29" s="85">
        <v>5.11379256361547</v>
      </c>
      <c r="R29" s="85">
        <v>1.33205677086613</v>
      </c>
      <c r="S29" s="85">
        <v>1.34403110361809</v>
      </c>
      <c r="T29" s="85"/>
      <c r="U29" s="85"/>
      <c r="V29" s="85">
        <v>2.17646245744755</v>
      </c>
      <c r="W29" s="85">
        <v>7.9967839856689</v>
      </c>
      <c r="X29" s="85">
        <v>1.45109637188751</v>
      </c>
      <c r="Y29" s="85">
        <v>1.46534712651859</v>
      </c>
      <c r="Z29" s="85"/>
      <c r="AA29" s="85"/>
      <c r="AB29" s="85">
        <v>1.92862395450009</v>
      </c>
      <c r="AC29" s="85">
        <v>7.04414044321409</v>
      </c>
      <c r="AD29" s="85">
        <v>1.42149225548184</v>
      </c>
      <c r="AE29" s="85">
        <v>1.43805289466939</v>
      </c>
      <c r="AF29" s="85"/>
      <c r="AG29" s="85"/>
      <c r="AH29" s="85">
        <v>0.961468709885923</v>
      </c>
      <c r="AI29" s="85">
        <v>3.68127002858408</v>
      </c>
      <c r="AJ29" s="85">
        <v>1.37705029832567</v>
      </c>
      <c r="AK29" s="85">
        <v>1.38738180931427</v>
      </c>
      <c r="AL29" s="85"/>
      <c r="AM29" s="85"/>
      <c r="AN29" s="86">
        <f t="shared" si="9"/>
        <v>3.778909051</v>
      </c>
      <c r="AO29" s="86">
        <f t="shared" si="10"/>
        <v>1.402063579</v>
      </c>
      <c r="AP29" s="87">
        <f t="shared" si="11"/>
        <v>80.33232568</v>
      </c>
      <c r="AQ29" s="87"/>
      <c r="AR29" s="87"/>
      <c r="AS29" s="38"/>
      <c r="AT29" s="38"/>
      <c r="AU29" s="38"/>
      <c r="AV29" s="38"/>
      <c r="AW29" s="38"/>
      <c r="AX29" s="38"/>
    </row>
    <row r="30">
      <c r="A30" s="81" t="s">
        <v>59</v>
      </c>
      <c r="B30" s="82" t="b">
        <v>1</v>
      </c>
      <c r="C30" s="15"/>
      <c r="D30" s="82" t="s">
        <v>37</v>
      </c>
      <c r="E30" s="15"/>
      <c r="F30" s="82" t="s">
        <v>37</v>
      </c>
      <c r="G30" s="88">
        <v>4.0</v>
      </c>
      <c r="H30" s="15"/>
      <c r="I30" s="15"/>
      <c r="J30" s="82">
        <v>0.043</v>
      </c>
      <c r="K30" s="82">
        <v>0.0105</v>
      </c>
      <c r="L30" s="82">
        <v>0.0028</v>
      </c>
      <c r="M30" s="84">
        <v>6.291</v>
      </c>
      <c r="N30" s="84">
        <v>2.098</v>
      </c>
      <c r="O30" s="82">
        <v>16.777</v>
      </c>
      <c r="P30" s="85">
        <v>1.32020456851425</v>
      </c>
      <c r="Q30" s="85">
        <v>5.07709520239095</v>
      </c>
      <c r="R30" s="85">
        <v>1.35677861077566</v>
      </c>
      <c r="S30" s="85">
        <v>1.37075705467602</v>
      </c>
      <c r="T30" s="85"/>
      <c r="U30" s="85"/>
      <c r="V30" s="85">
        <v>2.16703807814134</v>
      </c>
      <c r="W30" s="85">
        <v>7.95354533320352</v>
      </c>
      <c r="X30" s="85">
        <v>1.43624827182849</v>
      </c>
      <c r="Y30" s="85">
        <v>1.43415818255864</v>
      </c>
      <c r="Z30" s="85"/>
      <c r="AA30" s="85"/>
      <c r="AB30" s="85">
        <v>1.914428911216</v>
      </c>
      <c r="AC30" s="85">
        <v>6.97581980888413</v>
      </c>
      <c r="AD30" s="85">
        <v>1.4158244448025</v>
      </c>
      <c r="AE30" s="85">
        <v>1.42944535210179</v>
      </c>
      <c r="AF30" s="85"/>
      <c r="AG30" s="85"/>
      <c r="AH30" s="85">
        <v>0.835132493689029</v>
      </c>
      <c r="AI30" s="85">
        <v>3.14912901740584</v>
      </c>
      <c r="AJ30" s="85">
        <v>1.08892393458437</v>
      </c>
      <c r="AK30" s="85">
        <v>1.0636435839084</v>
      </c>
      <c r="AL30" s="85"/>
      <c r="AM30" s="85"/>
      <c r="AN30" s="86">
        <f t="shared" si="9"/>
        <v>3.674049177</v>
      </c>
      <c r="AO30" s="86">
        <f t="shared" si="10"/>
        <v>1.324472429</v>
      </c>
      <c r="AP30" s="87">
        <f t="shared" si="11"/>
        <v>75.88668029</v>
      </c>
      <c r="AQ30" s="87"/>
      <c r="AR30" s="87"/>
      <c r="AS30" s="38"/>
      <c r="AT30" s="38"/>
      <c r="AU30" s="38"/>
      <c r="AV30" s="38"/>
      <c r="AW30" s="38"/>
      <c r="AX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</row>
    <row r="32">
      <c r="A32" s="90" t="s">
        <v>60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4"/>
    </row>
    <row r="33">
      <c r="A33" s="91" t="s">
        <v>44</v>
      </c>
      <c r="B33" s="82" t="b">
        <v>1</v>
      </c>
      <c r="C33" s="92" t="s">
        <v>38</v>
      </c>
      <c r="D33" s="92" t="s">
        <v>37</v>
      </c>
      <c r="E33" s="92" t="s">
        <v>38</v>
      </c>
      <c r="F33" s="92" t="s">
        <v>37</v>
      </c>
      <c r="G33" s="92">
        <v>32.0</v>
      </c>
      <c r="H33" s="82" t="s">
        <v>39</v>
      </c>
      <c r="I33" s="82">
        <v>8.0</v>
      </c>
      <c r="J33" s="92">
        <v>4.8738</v>
      </c>
      <c r="K33" s="92">
        <v>0.1174</v>
      </c>
      <c r="L33" s="92">
        <v>0.2993</v>
      </c>
      <c r="M33" s="93">
        <v>75.497</v>
      </c>
      <c r="N33" s="94">
        <v>33.628</v>
      </c>
      <c r="O33" s="92">
        <v>193.987</v>
      </c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95"/>
      <c r="AO33" s="95"/>
      <c r="AP33" s="96"/>
      <c r="AQ33" s="86"/>
      <c r="AR33" s="87"/>
      <c r="AS33" s="69"/>
      <c r="AT33" s="70"/>
      <c r="AU33" s="70"/>
      <c r="AV33" s="70"/>
      <c r="AW33" s="70"/>
      <c r="AX33" s="70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>
      <c r="A35" s="90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4"/>
    </row>
    <row r="36">
      <c r="A36" s="97" t="s">
        <v>62</v>
      </c>
      <c r="B36" s="82" t="b">
        <v>1</v>
      </c>
      <c r="C36" s="82" t="s">
        <v>36</v>
      </c>
      <c r="D36" s="82" t="s">
        <v>37</v>
      </c>
      <c r="E36" s="98" t="s">
        <v>38</v>
      </c>
      <c r="F36" s="82" t="s">
        <v>37</v>
      </c>
      <c r="G36" s="82">
        <v>32.0</v>
      </c>
      <c r="H36" s="98" t="s">
        <v>39</v>
      </c>
      <c r="I36" s="98">
        <v>8.0</v>
      </c>
      <c r="J36" s="82">
        <v>7.3274</v>
      </c>
      <c r="K36" s="82">
        <v>0.1174</v>
      </c>
      <c r="L36" s="82">
        <v>1.1074</v>
      </c>
      <c r="M36" s="99">
        <v>117.441</v>
      </c>
      <c r="N36" s="84">
        <v>33.737</v>
      </c>
      <c r="O36" s="82">
        <v>235.93</v>
      </c>
      <c r="P36" s="85">
        <v>1.51110357867617</v>
      </c>
      <c r="Q36" s="85">
        <v>5.88272108406219</v>
      </c>
      <c r="R36" s="85">
        <v>1.75308578698526</v>
      </c>
      <c r="S36" s="85">
        <v>1.77077828478117</v>
      </c>
      <c r="T36" s="85"/>
      <c r="U36" s="85"/>
      <c r="V36" s="85">
        <v>2.24095586696691</v>
      </c>
      <c r="W36" s="85">
        <v>8.27920682893797</v>
      </c>
      <c r="X36" s="85">
        <v>1.54661556934373</v>
      </c>
      <c r="Y36" s="85">
        <v>1.56575091764737</v>
      </c>
      <c r="Z36" s="85"/>
      <c r="AA36" s="85"/>
      <c r="AB36" s="85">
        <v>2.00592447938331</v>
      </c>
      <c r="AC36" s="85">
        <v>7.37239933485201</v>
      </c>
      <c r="AD36" s="85">
        <v>1.53635382309502</v>
      </c>
      <c r="AE36" s="85">
        <v>1.54860193575902</v>
      </c>
      <c r="AF36" s="85"/>
      <c r="AG36" s="85"/>
      <c r="AH36" s="85">
        <v>1.10004199712134</v>
      </c>
      <c r="AI36" s="85">
        <v>4.27711437572337</v>
      </c>
      <c r="AJ36" s="85">
        <v>1.57244168793246</v>
      </c>
      <c r="AK36" s="85">
        <v>1.6036105812094</v>
      </c>
      <c r="AL36" s="85"/>
      <c r="AM36" s="85"/>
      <c r="AN36" s="86">
        <f>AVERAGE(P36,Q36,V36,W36,AB36,AC36,AH36,AI36)</f>
        <v>4.083683443</v>
      </c>
      <c r="AO36" s="86">
        <f>AVERAGE(R36,S36,X36,AD36,AE36,Y36,AJ36,AK36)</f>
        <v>1.612154823</v>
      </c>
      <c r="AP36" s="100">
        <f>AO36 * (180/PI())</f>
        <v>92.3696673</v>
      </c>
      <c r="AQ36" s="86"/>
      <c r="AR36" s="87"/>
      <c r="AS36" s="53"/>
      <c r="AT36" s="54"/>
      <c r="AU36" s="54"/>
      <c r="AV36" s="54"/>
      <c r="AW36" s="54"/>
      <c r="AX36" s="54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</row>
    <row r="38">
      <c r="A38" s="90" t="s">
        <v>63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</row>
    <row r="39">
      <c r="A39" s="101" t="s">
        <v>47</v>
      </c>
      <c r="B39" s="42"/>
      <c r="C39" s="42" t="s">
        <v>36</v>
      </c>
      <c r="D39" s="42" t="s">
        <v>37</v>
      </c>
      <c r="E39" s="71" t="s">
        <v>64</v>
      </c>
      <c r="F39" s="42" t="s">
        <v>41</v>
      </c>
      <c r="G39" s="77">
        <v>4.0</v>
      </c>
      <c r="H39" s="42" t="s">
        <v>39</v>
      </c>
      <c r="I39" s="42">
        <v>8.0</v>
      </c>
      <c r="J39" s="72">
        <v>0.0013</v>
      </c>
      <c r="K39" s="73">
        <v>2.0E-4</v>
      </c>
      <c r="L39" s="73">
        <v>0.0052</v>
      </c>
      <c r="M39" s="74">
        <v>0.147</v>
      </c>
      <c r="N39" s="74">
        <v>0.067</v>
      </c>
      <c r="O39" s="73">
        <v>0.393</v>
      </c>
      <c r="P39" s="46">
        <v>1.23806671921686</v>
      </c>
      <c r="Q39" s="46">
        <v>4.58070747231222</v>
      </c>
      <c r="R39" s="47">
        <v>1.49333459363573</v>
      </c>
      <c r="S39" s="47">
        <v>1.54064683019882</v>
      </c>
      <c r="T39" s="48">
        <v>1.29773298</v>
      </c>
      <c r="U39" s="48">
        <v>1.23275663</v>
      </c>
      <c r="V39" s="46">
        <v>1.77665047862128</v>
      </c>
      <c r="W39" s="46">
        <v>6.40178702030729</v>
      </c>
      <c r="X39" s="47">
        <v>1.6075528691449</v>
      </c>
      <c r="Y39" s="47">
        <v>1.66476663054724</v>
      </c>
      <c r="Z39" s="48">
        <v>1.65833242</v>
      </c>
      <c r="AA39" s="48">
        <v>1.67172654</v>
      </c>
      <c r="AB39" s="46">
        <v>1.58063239442035</v>
      </c>
      <c r="AC39" s="46">
        <v>5.40324682299385</v>
      </c>
      <c r="AD39" s="47">
        <v>1.36147418525984</v>
      </c>
      <c r="AE39" s="47">
        <v>1.41978495721786</v>
      </c>
      <c r="AF39" s="48">
        <v>1.25929047</v>
      </c>
      <c r="AG39" s="48">
        <v>1.28534667</v>
      </c>
      <c r="AH39" s="46">
        <v>0.898141877254725</v>
      </c>
      <c r="AI39" s="46">
        <v>3.37375907401707</v>
      </c>
      <c r="AJ39" s="47">
        <v>1.67534599055545</v>
      </c>
      <c r="AK39" s="47">
        <v>1.70133670097501</v>
      </c>
      <c r="AL39" s="48">
        <v>1.58970582</v>
      </c>
      <c r="AM39" s="48">
        <v>1.52367408</v>
      </c>
      <c r="AN39" s="49">
        <f t="shared" ref="AN39:AN62" si="12">AVERAGE(P39,Q39,V39,W39,AB39,AC39,AH39,AI39)</f>
        <v>3.156623982</v>
      </c>
      <c r="AO39" s="50">
        <f t="shared" ref="AO39:AO62" si="13">AVERAGE(R39,S39,X39,AD39,AE39,Y39,AJ39,AK39)</f>
        <v>1.558030345</v>
      </c>
      <c r="AP39" s="76">
        <f t="shared" ref="AP39:AP62" si="14">AO39 * (180/PI())</f>
        <v>89.2685631</v>
      </c>
      <c r="AQ39" s="75">
        <f t="shared" ref="AQ39:AQ62" si="15">AVERAGE(T39:U39,Z39:AA39,AF39:AG39,AL39:AM39)</f>
        <v>1.439820701</v>
      </c>
      <c r="AR39" s="52">
        <f t="shared" ref="AR39:AR62" si="16"> AQ39 * (180/PI())</f>
        <v>82.49564944</v>
      </c>
      <c r="AS39" s="54"/>
      <c r="AT39" s="54"/>
      <c r="AU39" s="54"/>
      <c r="AV39" s="54"/>
      <c r="AW39" s="54"/>
      <c r="AX39" s="54"/>
    </row>
    <row r="40">
      <c r="A40" s="6"/>
      <c r="B40" s="6"/>
      <c r="C40" s="6"/>
      <c r="D40" s="6"/>
      <c r="E40" s="71" t="s">
        <v>65</v>
      </c>
      <c r="F40" s="6"/>
      <c r="G40" s="6"/>
      <c r="H40" s="6"/>
      <c r="I40" s="6"/>
      <c r="J40" s="72">
        <v>0.005</v>
      </c>
      <c r="K40" s="73">
        <v>9.0E-4</v>
      </c>
      <c r="L40" s="73">
        <v>0.0052</v>
      </c>
      <c r="M40" s="74">
        <v>0.59</v>
      </c>
      <c r="N40" s="74">
        <v>0.263</v>
      </c>
      <c r="O40" s="73">
        <v>1.573</v>
      </c>
      <c r="P40" s="46">
        <v>1.18910230212485</v>
      </c>
      <c r="Q40" s="46">
        <v>4.43381764200957</v>
      </c>
      <c r="R40" s="47">
        <v>1.24940357470006</v>
      </c>
      <c r="S40" s="47">
        <v>1.30885083535138</v>
      </c>
      <c r="T40" s="48">
        <v>0.99699487</v>
      </c>
      <c r="U40" s="48">
        <v>1.02846306</v>
      </c>
      <c r="V40" s="46">
        <v>1.81074231649582</v>
      </c>
      <c r="W40" s="46">
        <v>6.55910389734822</v>
      </c>
      <c r="X40" s="47">
        <v>1.3240268729717</v>
      </c>
      <c r="Y40" s="47">
        <v>1.34333817469774</v>
      </c>
      <c r="Z40" s="48">
        <v>1.20183531</v>
      </c>
      <c r="AA40" s="48">
        <v>1.1646694</v>
      </c>
      <c r="AB40" s="46">
        <v>1.61704553870142</v>
      </c>
      <c r="AC40" s="46">
        <v>5.49614997132301</v>
      </c>
      <c r="AD40" s="47">
        <v>1.344096488116</v>
      </c>
      <c r="AE40" s="47">
        <v>1.38204627564459</v>
      </c>
      <c r="AF40" s="48">
        <v>1.10778849</v>
      </c>
      <c r="AG40" s="48">
        <v>1.103387</v>
      </c>
      <c r="AH40" s="46">
        <v>0.837536661665484</v>
      </c>
      <c r="AI40" s="46">
        <v>3.23861030390977</v>
      </c>
      <c r="AJ40" s="47">
        <v>1.46168888812428</v>
      </c>
      <c r="AK40" s="47">
        <v>1.4761584188581</v>
      </c>
      <c r="AL40" s="48">
        <v>1.44319596</v>
      </c>
      <c r="AM40" s="48">
        <v>1.47133287</v>
      </c>
      <c r="AN40" s="49">
        <f t="shared" si="12"/>
        <v>3.147763579</v>
      </c>
      <c r="AO40" s="50">
        <f t="shared" si="13"/>
        <v>1.361201191</v>
      </c>
      <c r="AP40" s="76">
        <f t="shared" si="14"/>
        <v>77.99108332</v>
      </c>
      <c r="AQ40" s="75">
        <f t="shared" si="15"/>
        <v>1.18970837</v>
      </c>
      <c r="AR40" s="52">
        <f t="shared" si="16"/>
        <v>68.16526845</v>
      </c>
      <c r="AS40" s="54"/>
      <c r="AT40" s="54"/>
      <c r="AU40" s="54"/>
      <c r="AV40" s="54"/>
      <c r="AW40" s="54"/>
      <c r="AX40" s="54"/>
    </row>
    <row r="41">
      <c r="A41" s="15"/>
      <c r="B41" s="6"/>
      <c r="C41" s="6"/>
      <c r="D41" s="6"/>
      <c r="E41" s="71" t="s">
        <v>36</v>
      </c>
      <c r="F41" s="6"/>
      <c r="G41" s="15"/>
      <c r="H41" s="6"/>
      <c r="I41" s="6"/>
      <c r="J41" s="72">
        <v>0.0202</v>
      </c>
      <c r="K41" s="73">
        <v>0.0037</v>
      </c>
      <c r="L41" s="73">
        <v>0.0052</v>
      </c>
      <c r="M41" s="74">
        <v>2.359</v>
      </c>
      <c r="N41" s="74">
        <v>1.05</v>
      </c>
      <c r="O41" s="73">
        <v>6.291</v>
      </c>
      <c r="P41" s="46">
        <v>1.16874636475758</v>
      </c>
      <c r="Q41" s="46">
        <v>4.40826832810566</v>
      </c>
      <c r="R41" s="47">
        <v>1.09234446323263</v>
      </c>
      <c r="S41" s="47">
        <v>1.14650761056383</v>
      </c>
      <c r="T41" s="48">
        <v>0.91911084</v>
      </c>
      <c r="U41" s="48">
        <v>0.91893319</v>
      </c>
      <c r="V41" s="46">
        <v>1.86288570708384</v>
      </c>
      <c r="W41" s="46">
        <v>6.78140655603335</v>
      </c>
      <c r="X41" s="47">
        <v>1.19808186677759</v>
      </c>
      <c r="Y41" s="47">
        <v>1.21024526462368</v>
      </c>
      <c r="Z41" s="48">
        <v>1.1041175</v>
      </c>
      <c r="AA41" s="48">
        <v>1.09605443</v>
      </c>
      <c r="AB41" s="46">
        <v>1.62278790223973</v>
      </c>
      <c r="AC41" s="46">
        <v>5.63492396075728</v>
      </c>
      <c r="AD41" s="47">
        <v>1.20650501826635</v>
      </c>
      <c r="AE41" s="47">
        <v>1.23426820247507</v>
      </c>
      <c r="AF41" s="48">
        <v>1.04341571</v>
      </c>
      <c r="AG41" s="48">
        <v>1.03519299</v>
      </c>
      <c r="AH41" s="46">
        <v>0.711232543349368</v>
      </c>
      <c r="AI41" s="46">
        <v>2.73780094271805</v>
      </c>
      <c r="AJ41" s="47">
        <v>1.03527023530965</v>
      </c>
      <c r="AK41" s="47">
        <v>1.01455102191261</v>
      </c>
      <c r="AL41" s="48">
        <v>0.66776741</v>
      </c>
      <c r="AM41" s="48">
        <v>0.73751449</v>
      </c>
      <c r="AN41" s="49">
        <f t="shared" si="12"/>
        <v>3.116006538</v>
      </c>
      <c r="AO41" s="50">
        <f t="shared" si="13"/>
        <v>1.14222171</v>
      </c>
      <c r="AP41" s="76">
        <f t="shared" si="14"/>
        <v>65.44448327</v>
      </c>
      <c r="AQ41" s="75">
        <f t="shared" si="15"/>
        <v>0.94026332</v>
      </c>
      <c r="AR41" s="52">
        <f t="shared" si="16"/>
        <v>53.87311987</v>
      </c>
      <c r="AS41" s="54"/>
      <c r="AT41" s="54"/>
      <c r="AU41" s="54"/>
      <c r="AV41" s="54"/>
      <c r="AW41" s="54"/>
      <c r="AX41" s="54"/>
    </row>
    <row r="42">
      <c r="A42" s="101" t="s">
        <v>46</v>
      </c>
      <c r="B42" s="6"/>
      <c r="C42" s="6"/>
      <c r="D42" s="6"/>
      <c r="E42" s="71" t="s">
        <v>64</v>
      </c>
      <c r="F42" s="6"/>
      <c r="G42" s="77">
        <v>8.0</v>
      </c>
      <c r="H42" s="6"/>
      <c r="I42" s="6"/>
      <c r="J42" s="72">
        <v>0.0049</v>
      </c>
      <c r="K42" s="73">
        <v>5.0E-4</v>
      </c>
      <c r="L42" s="73">
        <v>0.0195</v>
      </c>
      <c r="M42" s="74">
        <v>0.295</v>
      </c>
      <c r="N42" s="74">
        <v>0.136</v>
      </c>
      <c r="O42" s="73">
        <v>0.77</v>
      </c>
      <c r="P42" s="46">
        <v>1.17538515097427</v>
      </c>
      <c r="Q42" s="46">
        <v>4.33936857251764</v>
      </c>
      <c r="R42" s="47">
        <v>1.26422511939732</v>
      </c>
      <c r="S42" s="47">
        <v>1.29422855036289</v>
      </c>
      <c r="T42" s="48">
        <v>1.31221722</v>
      </c>
      <c r="U42" s="48">
        <v>1.2969971</v>
      </c>
      <c r="V42" s="46">
        <v>1.75089167303214</v>
      </c>
      <c r="W42" s="46">
        <v>6.28872913089645</v>
      </c>
      <c r="X42" s="47">
        <v>1.41411540782737</v>
      </c>
      <c r="Y42" s="47">
        <v>1.42659552209234</v>
      </c>
      <c r="Z42" s="48">
        <v>1.54503593</v>
      </c>
      <c r="AA42" s="48">
        <v>1.5235633</v>
      </c>
      <c r="AB42" s="46">
        <v>1.58718274890386</v>
      </c>
      <c r="AC42" s="46">
        <v>5.36692328471335</v>
      </c>
      <c r="AD42" s="47">
        <v>1.44464995218203</v>
      </c>
      <c r="AE42" s="47">
        <v>1.46845317617082</v>
      </c>
      <c r="AF42" s="48">
        <v>1.52532097</v>
      </c>
      <c r="AG42" s="48">
        <v>1.52576997</v>
      </c>
      <c r="AH42" s="46">
        <v>0.84566476057585</v>
      </c>
      <c r="AI42" s="46">
        <v>3.10027517106383</v>
      </c>
      <c r="AJ42" s="47">
        <v>1.44278886190215</v>
      </c>
      <c r="AK42" s="47">
        <v>1.49208626569842</v>
      </c>
      <c r="AL42" s="48">
        <v>1.72382914</v>
      </c>
      <c r="AM42" s="48">
        <v>1.64088878</v>
      </c>
      <c r="AN42" s="49">
        <f t="shared" si="12"/>
        <v>3.056802562</v>
      </c>
      <c r="AO42" s="50">
        <f t="shared" si="13"/>
        <v>1.405892857</v>
      </c>
      <c r="AP42" s="76">
        <f t="shared" si="14"/>
        <v>80.55172715</v>
      </c>
      <c r="AQ42" s="75">
        <f t="shared" si="15"/>
        <v>1.511702801</v>
      </c>
      <c r="AR42" s="52">
        <f t="shared" si="16"/>
        <v>86.61419039</v>
      </c>
      <c r="AS42" s="38"/>
      <c r="AT42" s="38"/>
      <c r="AU42" s="38"/>
      <c r="AV42" s="38"/>
      <c r="AW42" s="38"/>
      <c r="AX42" s="38"/>
    </row>
    <row r="43">
      <c r="A43" s="6"/>
      <c r="B43" s="6"/>
      <c r="C43" s="6"/>
      <c r="D43" s="6"/>
      <c r="E43" s="71" t="s">
        <v>65</v>
      </c>
      <c r="F43" s="6"/>
      <c r="G43" s="6"/>
      <c r="H43" s="6"/>
      <c r="I43" s="6"/>
      <c r="J43" s="72">
        <v>0.0195</v>
      </c>
      <c r="K43" s="73">
        <v>0.0018</v>
      </c>
      <c r="L43" s="73">
        <v>0.0195</v>
      </c>
      <c r="M43" s="74">
        <v>1.18</v>
      </c>
      <c r="N43" s="74">
        <v>0.529</v>
      </c>
      <c r="O43" s="73">
        <v>3.08</v>
      </c>
      <c r="P43" s="46">
        <v>1.14311555398488</v>
      </c>
      <c r="Q43" s="46">
        <v>4.22649285713291</v>
      </c>
      <c r="R43" s="47">
        <v>1.05482001395365</v>
      </c>
      <c r="S43" s="47">
        <v>1.07643755668534</v>
      </c>
      <c r="T43" s="48">
        <v>1.05625148</v>
      </c>
      <c r="U43" s="48">
        <v>1.04472922</v>
      </c>
      <c r="V43" s="46">
        <v>1.7718707355721</v>
      </c>
      <c r="W43" s="46">
        <v>6.35798655899299</v>
      </c>
      <c r="X43" s="47">
        <v>1.22071729839314</v>
      </c>
      <c r="Y43" s="47">
        <v>1.21291350999384</v>
      </c>
      <c r="Z43" s="48">
        <v>1.14724642</v>
      </c>
      <c r="AA43" s="48">
        <v>1.08550631</v>
      </c>
      <c r="AB43" s="46">
        <v>1.56440835565</v>
      </c>
      <c r="AC43" s="46">
        <v>5.23089243925164</v>
      </c>
      <c r="AD43" s="47">
        <v>1.21361392331017</v>
      </c>
      <c r="AE43" s="47">
        <v>1.21351447809349</v>
      </c>
      <c r="AF43" s="48">
        <v>1.14931883</v>
      </c>
      <c r="AG43" s="48">
        <v>1.10115809</v>
      </c>
      <c r="AH43" s="46">
        <v>0.828025365594442</v>
      </c>
      <c r="AI43" s="46">
        <v>3.13628690633085</v>
      </c>
      <c r="AJ43" s="47">
        <v>1.33759920807037</v>
      </c>
      <c r="AK43" s="47">
        <v>1.4055789521968</v>
      </c>
      <c r="AL43" s="48">
        <v>1.68850691</v>
      </c>
      <c r="AM43" s="48">
        <v>1.6705668</v>
      </c>
      <c r="AN43" s="49">
        <f t="shared" si="12"/>
        <v>3.032384847</v>
      </c>
      <c r="AO43" s="50">
        <f t="shared" si="13"/>
        <v>1.216899368</v>
      </c>
      <c r="AP43" s="76">
        <f t="shared" si="14"/>
        <v>69.72319785</v>
      </c>
      <c r="AQ43" s="75">
        <f t="shared" si="15"/>
        <v>1.242910508</v>
      </c>
      <c r="AR43" s="52">
        <f t="shared" si="16"/>
        <v>71.21352639</v>
      </c>
      <c r="AS43" s="38"/>
      <c r="AT43" s="38"/>
      <c r="AU43" s="38"/>
      <c r="AV43" s="38"/>
      <c r="AW43" s="38"/>
      <c r="AX43" s="38"/>
    </row>
    <row r="44">
      <c r="A44" s="15"/>
      <c r="B44" s="6"/>
      <c r="C44" s="6"/>
      <c r="D44" s="6"/>
      <c r="E44" s="71" t="s">
        <v>36</v>
      </c>
      <c r="F44" s="6"/>
      <c r="G44" s="15"/>
      <c r="H44" s="6"/>
      <c r="I44" s="6"/>
      <c r="J44" s="72">
        <v>0.0781</v>
      </c>
      <c r="K44" s="73">
        <v>0.0073</v>
      </c>
      <c r="L44" s="73">
        <v>0.0195</v>
      </c>
      <c r="M44" s="74">
        <v>4.719</v>
      </c>
      <c r="N44" s="74">
        <v>2.102</v>
      </c>
      <c r="O44" s="73">
        <v>12.321</v>
      </c>
      <c r="P44" s="46">
        <v>1.11009764526738</v>
      </c>
      <c r="Q44" s="46">
        <v>4.12632864641212</v>
      </c>
      <c r="R44" s="47">
        <v>0.883297819279047</v>
      </c>
      <c r="S44" s="47">
        <v>0.888853018893334</v>
      </c>
      <c r="T44" s="48">
        <v>0.9642138</v>
      </c>
      <c r="U44" s="48">
        <v>0.94805618</v>
      </c>
      <c r="V44" s="46">
        <v>1.80171325424703</v>
      </c>
      <c r="W44" s="46">
        <v>6.48019647007243</v>
      </c>
      <c r="X44" s="47">
        <v>1.03962694734349</v>
      </c>
      <c r="Y44" s="47">
        <v>1.02360363430131</v>
      </c>
      <c r="Z44" s="48">
        <v>1.0055164</v>
      </c>
      <c r="AA44" s="48">
        <v>0.93882007</v>
      </c>
      <c r="AB44" s="46">
        <v>1.53285558321166</v>
      </c>
      <c r="AC44" s="46">
        <v>5.2172394057974</v>
      </c>
      <c r="AD44" s="47">
        <v>0.951245358422698</v>
      </c>
      <c r="AE44" s="47">
        <v>0.933941889193781</v>
      </c>
      <c r="AF44" s="48">
        <v>0.85329099</v>
      </c>
      <c r="AG44" s="48">
        <v>0.81075929</v>
      </c>
      <c r="AH44" s="46">
        <v>0.767387036897324</v>
      </c>
      <c r="AI44" s="46">
        <v>2.94998772760989</v>
      </c>
      <c r="AJ44" s="47">
        <v>1.07362408314661</v>
      </c>
      <c r="AK44" s="47">
        <v>1.12498637112077</v>
      </c>
      <c r="AL44" s="48">
        <v>1.145554</v>
      </c>
      <c r="AM44" s="48">
        <v>1.18477234</v>
      </c>
      <c r="AN44" s="49">
        <f t="shared" si="12"/>
        <v>2.998225721</v>
      </c>
      <c r="AO44" s="50">
        <f t="shared" si="13"/>
        <v>0.9898973902</v>
      </c>
      <c r="AP44" s="76">
        <f t="shared" si="14"/>
        <v>56.71694261</v>
      </c>
      <c r="AQ44" s="75">
        <f t="shared" si="15"/>
        <v>0.9813728838</v>
      </c>
      <c r="AR44" s="52">
        <f t="shared" si="16"/>
        <v>56.22852437</v>
      </c>
      <c r="AS44" s="38"/>
      <c r="AT44" s="38"/>
      <c r="AU44" s="38"/>
      <c r="AV44" s="38"/>
      <c r="AW44" s="38"/>
      <c r="AX44" s="38"/>
    </row>
    <row r="45">
      <c r="A45" s="101" t="s">
        <v>45</v>
      </c>
      <c r="B45" s="6"/>
      <c r="C45" s="6"/>
      <c r="D45" s="6"/>
      <c r="E45" s="71" t="s">
        <v>64</v>
      </c>
      <c r="F45" s="6"/>
      <c r="G45" s="77">
        <v>16.0</v>
      </c>
      <c r="H45" s="6"/>
      <c r="I45" s="6"/>
      <c r="J45" s="72">
        <v>0.0192</v>
      </c>
      <c r="K45" s="73">
        <v>9.0E-4</v>
      </c>
      <c r="L45" s="73">
        <v>0.0759</v>
      </c>
      <c r="M45" s="74">
        <v>0.59</v>
      </c>
      <c r="N45" s="74">
        <v>0.281</v>
      </c>
      <c r="O45" s="73">
        <v>1.524</v>
      </c>
      <c r="P45" s="46">
        <v>1.20720398298157</v>
      </c>
      <c r="Q45" s="46">
        <v>4.45899929768953</v>
      </c>
      <c r="R45" s="47">
        <v>1.33873173064022</v>
      </c>
      <c r="S45" s="47">
        <v>1.34955795995981</v>
      </c>
      <c r="T45" s="48">
        <v>1.41201606</v>
      </c>
      <c r="U45" s="48">
        <v>1.39933967</v>
      </c>
      <c r="V45" s="46">
        <v>1.7370058111046</v>
      </c>
      <c r="W45" s="46">
        <v>6.23450830740248</v>
      </c>
      <c r="X45" s="47">
        <v>1.22767513118558</v>
      </c>
      <c r="Y45" s="47">
        <v>1.2421810474878</v>
      </c>
      <c r="Z45" s="48">
        <v>1.22341806</v>
      </c>
      <c r="AA45" s="48">
        <v>1.20898183</v>
      </c>
      <c r="AB45" s="46">
        <v>1.52309799064796</v>
      </c>
      <c r="AC45" s="46">
        <v>5.11047379450137</v>
      </c>
      <c r="AD45" s="47">
        <v>1.12761110513399</v>
      </c>
      <c r="AE45" s="47">
        <v>1.14248507294774</v>
      </c>
      <c r="AF45" s="48">
        <v>1.03372053</v>
      </c>
      <c r="AG45" s="48">
        <v>1.0273543</v>
      </c>
      <c r="AH45" s="46">
        <v>0.866037249674389</v>
      </c>
      <c r="AI45" s="46">
        <v>3.17696407631137</v>
      </c>
      <c r="AJ45" s="47">
        <v>1.22009873600334</v>
      </c>
      <c r="AK45" s="47">
        <v>1.26926922174808</v>
      </c>
      <c r="AL45" s="48">
        <v>1.60527845</v>
      </c>
      <c r="AM45" s="48">
        <v>1.63251922</v>
      </c>
      <c r="AN45" s="49">
        <f t="shared" si="12"/>
        <v>3.039286314</v>
      </c>
      <c r="AO45" s="50">
        <f t="shared" si="13"/>
        <v>1.239701251</v>
      </c>
      <c r="AP45" s="76">
        <f t="shared" si="14"/>
        <v>71.02964952</v>
      </c>
      <c r="AQ45" s="75">
        <f t="shared" si="15"/>
        <v>1.317828515</v>
      </c>
      <c r="AR45" s="52">
        <f t="shared" si="16"/>
        <v>75.50601203</v>
      </c>
      <c r="AS45" s="38"/>
      <c r="AT45" s="38"/>
      <c r="AU45" s="38"/>
      <c r="AV45" s="38"/>
      <c r="AW45" s="38"/>
      <c r="AX45" s="38"/>
    </row>
    <row r="46">
      <c r="A46" s="6"/>
      <c r="B46" s="6"/>
      <c r="C46" s="6"/>
      <c r="D46" s="6"/>
      <c r="E46" s="71" t="s">
        <v>65</v>
      </c>
      <c r="F46" s="6"/>
      <c r="G46" s="6"/>
      <c r="H46" s="6"/>
      <c r="I46" s="6"/>
      <c r="J46" s="72">
        <v>0.0768</v>
      </c>
      <c r="K46" s="73">
        <v>0.0037</v>
      </c>
      <c r="L46" s="73">
        <v>0.0759</v>
      </c>
      <c r="M46" s="74">
        <v>2.359</v>
      </c>
      <c r="N46" s="74">
        <v>1.067</v>
      </c>
      <c r="O46" s="73">
        <v>6.095</v>
      </c>
      <c r="P46" s="46">
        <v>1.16322180008571</v>
      </c>
      <c r="Q46" s="46">
        <v>4.28274995966585</v>
      </c>
      <c r="R46" s="47">
        <v>1.10142288468402</v>
      </c>
      <c r="S46" s="47">
        <v>1.10710885536009</v>
      </c>
      <c r="T46" s="48">
        <v>1.03063526</v>
      </c>
      <c r="U46" s="48">
        <v>1.00540539</v>
      </c>
      <c r="V46" s="46">
        <v>1.71832263770947</v>
      </c>
      <c r="W46" s="46">
        <v>6.15805628264834</v>
      </c>
      <c r="X46" s="47">
        <v>0.960323052494545</v>
      </c>
      <c r="Y46" s="47">
        <v>0.959393779652225</v>
      </c>
      <c r="Z46" s="48">
        <v>0.90512114</v>
      </c>
      <c r="AA46" s="48">
        <v>0.86825481</v>
      </c>
      <c r="AB46" s="46">
        <v>1.48045601968182</v>
      </c>
      <c r="AC46" s="46">
        <v>4.93206329590478</v>
      </c>
      <c r="AD46" s="47">
        <v>0.885972260814995</v>
      </c>
      <c r="AE46" s="47">
        <v>0.877621718924903</v>
      </c>
      <c r="AF46" s="48">
        <v>0.76894269</v>
      </c>
      <c r="AG46" s="48">
        <v>0.75269695</v>
      </c>
      <c r="AH46" s="46">
        <v>0.839505892007361</v>
      </c>
      <c r="AI46" s="46">
        <v>3.20023615582815</v>
      </c>
      <c r="AJ46" s="47">
        <v>1.03094508122655</v>
      </c>
      <c r="AK46" s="47">
        <v>1.07752557114162</v>
      </c>
      <c r="AL46" s="48">
        <v>1.12191581</v>
      </c>
      <c r="AM46" s="48">
        <v>1.22382456</v>
      </c>
      <c r="AN46" s="49">
        <f t="shared" si="12"/>
        <v>2.971826505</v>
      </c>
      <c r="AO46" s="50">
        <f t="shared" si="13"/>
        <v>1.000039151</v>
      </c>
      <c r="AP46" s="76">
        <f t="shared" si="14"/>
        <v>57.29802267</v>
      </c>
      <c r="AQ46" s="75">
        <f t="shared" si="15"/>
        <v>0.9595995763</v>
      </c>
      <c r="AR46" s="52">
        <f t="shared" si="16"/>
        <v>54.98100574</v>
      </c>
      <c r="AS46" s="38"/>
      <c r="AT46" s="38"/>
      <c r="AU46" s="38"/>
      <c r="AV46" s="38"/>
      <c r="AW46" s="38"/>
      <c r="AX46" s="38"/>
    </row>
    <row r="47">
      <c r="A47" s="15"/>
      <c r="B47" s="6"/>
      <c r="C47" s="6"/>
      <c r="D47" s="6"/>
      <c r="E47" s="71" t="s">
        <v>36</v>
      </c>
      <c r="F47" s="6"/>
      <c r="G47" s="15"/>
      <c r="H47" s="6"/>
      <c r="I47" s="6"/>
      <c r="J47" s="72">
        <v>0.3072</v>
      </c>
      <c r="K47" s="73">
        <v>0.0147</v>
      </c>
      <c r="L47" s="73">
        <v>0.0759</v>
      </c>
      <c r="M47" s="74">
        <v>9.437</v>
      </c>
      <c r="N47" s="74">
        <v>4.213</v>
      </c>
      <c r="O47" s="73">
        <v>24.379</v>
      </c>
      <c r="P47" s="46">
        <v>1.0224827039023</v>
      </c>
      <c r="Q47" s="46">
        <v>3.79038533703155</v>
      </c>
      <c r="R47" s="47">
        <v>0.696117047332001</v>
      </c>
      <c r="S47" s="47">
        <v>0.691116249159089</v>
      </c>
      <c r="T47" s="48">
        <v>0.56812669</v>
      </c>
      <c r="U47" s="48">
        <v>0.54608405</v>
      </c>
      <c r="V47" s="46">
        <v>1.65278455519374</v>
      </c>
      <c r="W47" s="46">
        <v>5.88116713120646</v>
      </c>
      <c r="X47" s="47">
        <v>0.746879897440023</v>
      </c>
      <c r="Y47" s="47">
        <v>0.730920961904751</v>
      </c>
      <c r="Z47" s="48">
        <v>0.74927857</v>
      </c>
      <c r="AA47" s="48">
        <v>0.69665908</v>
      </c>
      <c r="AB47" s="46">
        <v>1.38940174432403</v>
      </c>
      <c r="AC47" s="46">
        <v>4.66515151717721</v>
      </c>
      <c r="AD47" s="47">
        <v>0.641015940729946</v>
      </c>
      <c r="AE47" s="47">
        <v>0.613536038546782</v>
      </c>
      <c r="AF47" s="48">
        <v>0.54872697</v>
      </c>
      <c r="AG47" s="48">
        <v>0.506626</v>
      </c>
      <c r="AH47" s="46">
        <v>0.718899004199593</v>
      </c>
      <c r="AI47" s="46">
        <v>2.7802667338364</v>
      </c>
      <c r="AJ47" s="47">
        <v>0.642495506451978</v>
      </c>
      <c r="AK47" s="47">
        <v>0.665376936577131</v>
      </c>
      <c r="AL47" s="48">
        <v>0.547324</v>
      </c>
      <c r="AM47" s="48">
        <v>0.57645746</v>
      </c>
      <c r="AN47" s="49">
        <f t="shared" si="12"/>
        <v>2.737567341</v>
      </c>
      <c r="AO47" s="50">
        <f t="shared" si="13"/>
        <v>0.6784323223</v>
      </c>
      <c r="AP47" s="76">
        <f t="shared" si="14"/>
        <v>38.87130875</v>
      </c>
      <c r="AQ47" s="75">
        <f t="shared" si="15"/>
        <v>0.5924103525</v>
      </c>
      <c r="AR47" s="52">
        <f t="shared" si="16"/>
        <v>33.94261294</v>
      </c>
      <c r="AS47" s="38"/>
      <c r="AT47" s="38"/>
      <c r="AU47" s="38"/>
      <c r="AV47" s="38"/>
      <c r="AW47" s="38"/>
      <c r="AX47" s="38"/>
    </row>
    <row r="48">
      <c r="A48" s="101" t="s">
        <v>44</v>
      </c>
      <c r="B48" s="6"/>
      <c r="C48" s="6"/>
      <c r="D48" s="6"/>
      <c r="E48" s="71" t="s">
        <v>64</v>
      </c>
      <c r="F48" s="6"/>
      <c r="G48" s="102">
        <v>32.0</v>
      </c>
      <c r="H48" s="6"/>
      <c r="I48" s="6"/>
      <c r="J48" s="72">
        <v>0.0762</v>
      </c>
      <c r="K48" s="73">
        <v>0.0018</v>
      </c>
      <c r="L48" s="73">
        <v>0.2993</v>
      </c>
      <c r="M48" s="74">
        <v>1.18</v>
      </c>
      <c r="N48" s="74">
        <v>0.598</v>
      </c>
      <c r="O48" s="73">
        <v>3.031</v>
      </c>
      <c r="P48" s="46">
        <v>1.10769060592488</v>
      </c>
      <c r="Q48" s="46">
        <v>4.03220485328341</v>
      </c>
      <c r="R48" s="47">
        <v>1.14945985537045</v>
      </c>
      <c r="S48" s="47">
        <v>1.1712606978028</v>
      </c>
      <c r="T48" s="48">
        <v>1.0746359</v>
      </c>
      <c r="U48" s="48">
        <v>1.03173914</v>
      </c>
      <c r="V48" s="46">
        <v>1.61536731143437</v>
      </c>
      <c r="W48" s="46">
        <v>5.78338836103482</v>
      </c>
      <c r="X48" s="47">
        <v>1.03276185859022</v>
      </c>
      <c r="Y48" s="47">
        <v>1.0924640268904</v>
      </c>
      <c r="Z48" s="48">
        <v>0.99055812</v>
      </c>
      <c r="AA48" s="48">
        <v>1.03033037</v>
      </c>
      <c r="AB48" s="46">
        <v>1.43290895210784</v>
      </c>
      <c r="AC48" s="46">
        <v>4.79370287643595</v>
      </c>
      <c r="AD48" s="47">
        <v>0.914544629586055</v>
      </c>
      <c r="AE48" s="47">
        <v>0.973375493539708</v>
      </c>
      <c r="AF48" s="48">
        <v>0.80413323</v>
      </c>
      <c r="AG48" s="48">
        <v>0.81810454</v>
      </c>
      <c r="AH48" s="46">
        <v>0.767223871090947</v>
      </c>
      <c r="AI48" s="46">
        <v>2.76414196692025</v>
      </c>
      <c r="AJ48" s="47">
        <v>1.34678416192108</v>
      </c>
      <c r="AK48" s="47">
        <v>1.37605684986809</v>
      </c>
      <c r="AL48" s="48">
        <v>1.15338382</v>
      </c>
      <c r="AM48" s="48">
        <v>1.27592408</v>
      </c>
      <c r="AN48" s="49">
        <f t="shared" si="12"/>
        <v>2.7870786</v>
      </c>
      <c r="AO48" s="50">
        <f t="shared" si="13"/>
        <v>1.132088447</v>
      </c>
      <c r="AP48" s="76">
        <f t="shared" si="14"/>
        <v>64.86389003</v>
      </c>
      <c r="AQ48" s="75">
        <f t="shared" si="15"/>
        <v>1.02235115</v>
      </c>
      <c r="AR48" s="52">
        <f t="shared" si="16"/>
        <v>58.57640608</v>
      </c>
      <c r="AS48" s="103"/>
      <c r="AT48" s="38"/>
      <c r="AU48" s="38"/>
      <c r="AV48" s="38"/>
      <c r="AW48" s="38"/>
      <c r="AX48" s="38"/>
    </row>
    <row r="49">
      <c r="A49" s="6"/>
      <c r="B49" s="6"/>
      <c r="C49" s="6"/>
      <c r="D49" s="6"/>
      <c r="E49" s="71" t="s">
        <v>65</v>
      </c>
      <c r="F49" s="6"/>
      <c r="G49" s="6"/>
      <c r="H49" s="6"/>
      <c r="I49" s="6"/>
      <c r="J49" s="72">
        <v>0.3046</v>
      </c>
      <c r="K49" s="73">
        <v>0.0073</v>
      </c>
      <c r="L49" s="73">
        <v>0.2993</v>
      </c>
      <c r="M49" s="74">
        <v>4.719</v>
      </c>
      <c r="N49" s="74">
        <v>2.171</v>
      </c>
      <c r="O49" s="73">
        <v>12.124</v>
      </c>
      <c r="P49" s="46">
        <v>1.06727326745399</v>
      </c>
      <c r="Q49" s="46">
        <v>3.89345389814997</v>
      </c>
      <c r="R49" s="47">
        <v>0.864312818051224</v>
      </c>
      <c r="S49" s="47">
        <v>0.868983567373296</v>
      </c>
      <c r="T49" s="48">
        <v>0.81734375</v>
      </c>
      <c r="U49" s="48">
        <v>0.81402303</v>
      </c>
      <c r="V49" s="46">
        <v>1.57849886244224</v>
      </c>
      <c r="W49" s="46">
        <v>5.64274870889669</v>
      </c>
      <c r="X49" s="47">
        <v>0.753897927341196</v>
      </c>
      <c r="Y49" s="47">
        <v>0.784468597641423</v>
      </c>
      <c r="Z49" s="48">
        <v>0.86038162</v>
      </c>
      <c r="AA49" s="48">
        <v>0.8780517</v>
      </c>
      <c r="AB49" s="46">
        <v>1.37168916771717</v>
      </c>
      <c r="AC49" s="46">
        <v>4.55169256476939</v>
      </c>
      <c r="AD49" s="47">
        <v>0.625919562047344</v>
      </c>
      <c r="AE49" s="47">
        <v>0.668211661359542</v>
      </c>
      <c r="AF49" s="48">
        <v>0.66832225</v>
      </c>
      <c r="AG49" s="48">
        <v>0.66594064</v>
      </c>
      <c r="AH49" s="46">
        <v>0.706656729805917</v>
      </c>
      <c r="AI49" s="46">
        <v>2.63913976967773</v>
      </c>
      <c r="AJ49" s="47">
        <v>1.10277421839211</v>
      </c>
      <c r="AK49" s="47">
        <v>1.18752831701342</v>
      </c>
      <c r="AL49" s="48">
        <v>0.70586704</v>
      </c>
      <c r="AM49" s="48">
        <v>0.71875411</v>
      </c>
      <c r="AN49" s="49">
        <f t="shared" si="12"/>
        <v>2.681394121</v>
      </c>
      <c r="AO49" s="50">
        <f t="shared" si="13"/>
        <v>0.8570120837</v>
      </c>
      <c r="AP49" s="76">
        <f t="shared" si="14"/>
        <v>49.10317538</v>
      </c>
      <c r="AQ49" s="75">
        <f t="shared" si="15"/>
        <v>0.7660855175</v>
      </c>
      <c r="AR49" s="52">
        <f t="shared" si="16"/>
        <v>43.8934669</v>
      </c>
      <c r="AS49" s="103"/>
      <c r="AT49" s="38"/>
      <c r="AU49" s="38"/>
      <c r="AV49" s="38"/>
      <c r="AW49" s="38"/>
      <c r="AX49" s="38"/>
    </row>
    <row r="50">
      <c r="A50" s="15"/>
      <c r="B50" s="6"/>
      <c r="C50" s="6"/>
      <c r="D50" s="6"/>
      <c r="E50" s="71" t="s">
        <v>36</v>
      </c>
      <c r="F50" s="6"/>
      <c r="G50" s="15"/>
      <c r="H50" s="6"/>
      <c r="I50" s="15"/>
      <c r="J50" s="72">
        <v>1.2184</v>
      </c>
      <c r="K50" s="73">
        <v>0.0294</v>
      </c>
      <c r="L50" s="73">
        <v>0.2993</v>
      </c>
      <c r="M50" s="74">
        <v>18.874</v>
      </c>
      <c r="N50" s="74">
        <v>8.463</v>
      </c>
      <c r="O50" s="73">
        <v>48.497</v>
      </c>
      <c r="P50" s="46">
        <v>0.940073240055208</v>
      </c>
      <c r="Q50" s="46">
        <v>3.47277614066843</v>
      </c>
      <c r="R50" s="47">
        <v>0.523166486750057</v>
      </c>
      <c r="S50" s="47">
        <v>0.510997509993844</v>
      </c>
      <c r="T50" s="48">
        <v>0.54137385</v>
      </c>
      <c r="U50" s="48">
        <v>0.53557879</v>
      </c>
      <c r="V50" s="46">
        <v>1.5181906282914</v>
      </c>
      <c r="W50" s="46">
        <v>5.39023528191912</v>
      </c>
      <c r="X50" s="47">
        <v>0.535060820068329</v>
      </c>
      <c r="Y50" s="47">
        <v>0.532726757870713</v>
      </c>
      <c r="Z50" s="48">
        <v>0.73249068</v>
      </c>
      <c r="AA50" s="48">
        <v>0.71789332</v>
      </c>
      <c r="AB50" s="46">
        <v>1.27243685250007</v>
      </c>
      <c r="AC50" s="46">
        <v>4.26543667915651</v>
      </c>
      <c r="AD50" s="47">
        <v>0.432135079477616</v>
      </c>
      <c r="AE50" s="47">
        <v>0.444114289539182</v>
      </c>
      <c r="AF50" s="48">
        <v>0.51379276</v>
      </c>
      <c r="AG50" s="48">
        <v>0.50048456</v>
      </c>
      <c r="AH50" s="46">
        <v>0.55829044937072</v>
      </c>
      <c r="AI50" s="46">
        <v>2.07770941155725</v>
      </c>
      <c r="AJ50" s="47">
        <v>0.577546047872446</v>
      </c>
      <c r="AK50" s="47">
        <v>0.571389243686286</v>
      </c>
      <c r="AL50" s="48">
        <v>0.38049183</v>
      </c>
      <c r="AM50" s="48">
        <v>0.3842905</v>
      </c>
      <c r="AN50" s="49">
        <f t="shared" si="12"/>
        <v>2.436893585</v>
      </c>
      <c r="AO50" s="50">
        <f t="shared" si="13"/>
        <v>0.5158920294</v>
      </c>
      <c r="AP50" s="76">
        <f t="shared" si="14"/>
        <v>29.55843597</v>
      </c>
      <c r="AQ50" s="75">
        <f t="shared" si="15"/>
        <v>0.5382995363</v>
      </c>
      <c r="AR50" s="52">
        <f t="shared" si="16"/>
        <v>30.84229154</v>
      </c>
      <c r="AS50" s="103"/>
      <c r="AT50" s="38"/>
      <c r="AU50" s="38"/>
      <c r="AV50" s="38"/>
      <c r="AW50" s="38"/>
      <c r="AX50" s="38"/>
    </row>
    <row r="51">
      <c r="A51" s="101" t="s">
        <v>51</v>
      </c>
      <c r="B51" s="6"/>
      <c r="C51" s="6"/>
      <c r="D51" s="6"/>
      <c r="E51" s="71" t="s">
        <v>64</v>
      </c>
      <c r="F51" s="6"/>
      <c r="G51" s="77">
        <v>4.0</v>
      </c>
      <c r="H51" s="6"/>
      <c r="I51" s="104">
        <v>6.0</v>
      </c>
      <c r="J51" s="72">
        <v>0.001</v>
      </c>
      <c r="K51" s="73">
        <v>2.0E-4</v>
      </c>
      <c r="L51" s="73">
        <v>0.0039</v>
      </c>
      <c r="M51" s="74">
        <v>0.131</v>
      </c>
      <c r="N51" s="74">
        <v>0.067</v>
      </c>
      <c r="O51" s="73">
        <v>0.295</v>
      </c>
      <c r="P51" s="46">
        <v>1.29352423553708</v>
      </c>
      <c r="Q51" s="46">
        <v>4.82214577722734</v>
      </c>
      <c r="R51" s="47">
        <v>1.63997349809054</v>
      </c>
      <c r="S51" s="47">
        <v>1.66530575835571</v>
      </c>
      <c r="T51" s="48">
        <v>1.79110744</v>
      </c>
      <c r="U51" s="48">
        <v>1.79498359</v>
      </c>
      <c r="V51" s="46">
        <v>1.80134370866622</v>
      </c>
      <c r="W51" s="46">
        <v>6.50472814231965</v>
      </c>
      <c r="X51" s="47">
        <v>1.39163820210022</v>
      </c>
      <c r="Y51" s="47">
        <v>1.39170003061021</v>
      </c>
      <c r="Z51" s="48">
        <v>1.48766771</v>
      </c>
      <c r="AA51" s="48">
        <v>1.48411781</v>
      </c>
      <c r="AB51" s="46">
        <v>1.64296218703951</v>
      </c>
      <c r="AC51" s="46">
        <v>5.60090597049562</v>
      </c>
      <c r="AD51" s="47">
        <v>1.50099768649245</v>
      </c>
      <c r="AE51" s="47">
        <v>1.53443126336621</v>
      </c>
      <c r="AF51" s="48">
        <v>1.61091247</v>
      </c>
      <c r="AG51" s="48">
        <v>1.60816986</v>
      </c>
      <c r="AH51" s="46">
        <v>0.862592670486036</v>
      </c>
      <c r="AI51" s="46">
        <v>3.23860940807212</v>
      </c>
      <c r="AJ51" s="47">
        <v>1.61636187047396</v>
      </c>
      <c r="AK51" s="47">
        <v>1.67314776560961</v>
      </c>
      <c r="AL51" s="48">
        <v>1.44331353</v>
      </c>
      <c r="AM51" s="48">
        <v>1.52631442</v>
      </c>
      <c r="AN51" s="49">
        <f t="shared" si="12"/>
        <v>3.220851512</v>
      </c>
      <c r="AO51" s="50">
        <f t="shared" si="13"/>
        <v>1.551694509</v>
      </c>
      <c r="AP51" s="76">
        <f t="shared" si="14"/>
        <v>88.90554648</v>
      </c>
      <c r="AQ51" s="75">
        <f t="shared" si="15"/>
        <v>1.593323354</v>
      </c>
      <c r="AR51" s="52">
        <f t="shared" si="16"/>
        <v>91.29070357</v>
      </c>
      <c r="AS51" s="38"/>
      <c r="AT51" s="38"/>
      <c r="AU51" s="38"/>
      <c r="AV51" s="38"/>
      <c r="AW51" s="38"/>
      <c r="AX51" s="38"/>
    </row>
    <row r="52">
      <c r="A52" s="6"/>
      <c r="B52" s="6"/>
      <c r="C52" s="6"/>
      <c r="D52" s="6"/>
      <c r="E52" s="71" t="s">
        <v>65</v>
      </c>
      <c r="F52" s="6"/>
      <c r="G52" s="6"/>
      <c r="H52" s="6"/>
      <c r="I52" s="6"/>
      <c r="J52" s="72">
        <v>0.0039</v>
      </c>
      <c r="K52" s="73">
        <v>7.0E-4</v>
      </c>
      <c r="L52" s="73">
        <v>0.0039</v>
      </c>
      <c r="M52" s="74">
        <v>0.524</v>
      </c>
      <c r="N52" s="74">
        <v>0.263</v>
      </c>
      <c r="O52" s="73">
        <v>1.18</v>
      </c>
      <c r="P52" s="46">
        <v>1.28115554011399</v>
      </c>
      <c r="Q52" s="46">
        <v>4.76843515921368</v>
      </c>
      <c r="R52" s="47">
        <v>1.5310687949376</v>
      </c>
      <c r="S52" s="47">
        <v>1.55180584726863</v>
      </c>
      <c r="T52" s="48">
        <v>1.75123958</v>
      </c>
      <c r="U52" s="48">
        <v>1.74291943</v>
      </c>
      <c r="V52" s="46">
        <v>1.85780013939476</v>
      </c>
      <c r="W52" s="46">
        <v>6.74111575553785</v>
      </c>
      <c r="X52" s="47">
        <v>1.46330384393304</v>
      </c>
      <c r="Y52" s="47">
        <v>1.49194596854385</v>
      </c>
      <c r="Z52" s="48">
        <v>1.5674184</v>
      </c>
      <c r="AA52" s="48">
        <v>1.56572479</v>
      </c>
      <c r="AB52" s="46">
        <v>1.65136648208437</v>
      </c>
      <c r="AC52" s="46">
        <v>5.61725328842452</v>
      </c>
      <c r="AD52" s="47">
        <v>1.38467643030042</v>
      </c>
      <c r="AE52" s="47">
        <v>1.40613096041406</v>
      </c>
      <c r="AF52" s="48">
        <v>1.50443377</v>
      </c>
      <c r="AG52" s="48">
        <v>1.5059113</v>
      </c>
      <c r="AH52" s="46">
        <v>0.814402121044709</v>
      </c>
      <c r="AI52" s="46">
        <v>3.12496031071067</v>
      </c>
      <c r="AJ52" s="47">
        <v>1.43344144628273</v>
      </c>
      <c r="AK52" s="47">
        <v>1.45163587330045</v>
      </c>
      <c r="AL52" s="48">
        <v>0.88407614</v>
      </c>
      <c r="AM52" s="48">
        <v>0.93779908</v>
      </c>
      <c r="AN52" s="49">
        <f t="shared" si="12"/>
        <v>3.2320611</v>
      </c>
      <c r="AO52" s="50">
        <f t="shared" si="13"/>
        <v>1.464251146</v>
      </c>
      <c r="AP52" s="76">
        <f t="shared" si="14"/>
        <v>83.89541079</v>
      </c>
      <c r="AQ52" s="75">
        <f t="shared" si="15"/>
        <v>1.432440311</v>
      </c>
      <c r="AR52" s="52">
        <f t="shared" si="16"/>
        <v>82.07278424</v>
      </c>
      <c r="AS52" s="38"/>
      <c r="AT52" s="38"/>
      <c r="AU52" s="38"/>
      <c r="AV52" s="38"/>
      <c r="AW52" s="38"/>
      <c r="AX52" s="38"/>
    </row>
    <row r="53">
      <c r="A53" s="15"/>
      <c r="B53" s="6"/>
      <c r="C53" s="6"/>
      <c r="D53" s="6"/>
      <c r="E53" s="71" t="s">
        <v>36</v>
      </c>
      <c r="F53" s="6"/>
      <c r="G53" s="15"/>
      <c r="H53" s="6"/>
      <c r="I53" s="6"/>
      <c r="J53" s="72">
        <v>0.0155</v>
      </c>
      <c r="K53" s="73">
        <v>0.0026</v>
      </c>
      <c r="L53" s="73">
        <v>0.0039</v>
      </c>
      <c r="M53" s="74">
        <v>2.097</v>
      </c>
      <c r="N53" s="74">
        <v>1.05</v>
      </c>
      <c r="O53" s="73">
        <v>4.719</v>
      </c>
      <c r="P53" s="46">
        <v>1.27458120652806</v>
      </c>
      <c r="Q53" s="46">
        <v>4.79934529245485</v>
      </c>
      <c r="R53" s="47">
        <v>1.40042331115781</v>
      </c>
      <c r="S53" s="47">
        <v>1.42256418417881</v>
      </c>
      <c r="T53" s="48">
        <v>1.37088005</v>
      </c>
      <c r="U53" s="48">
        <v>1.36892858</v>
      </c>
      <c r="V53" s="46">
        <v>1.93832875198179</v>
      </c>
      <c r="W53" s="46">
        <v>7.08466387073428</v>
      </c>
      <c r="X53" s="47">
        <v>1.45413005293456</v>
      </c>
      <c r="Y53" s="47">
        <v>1.47234572932588</v>
      </c>
      <c r="Z53" s="48">
        <v>1.46213932</v>
      </c>
      <c r="AA53" s="48">
        <v>1.46947933</v>
      </c>
      <c r="AB53" s="46">
        <v>1.68678915381147</v>
      </c>
      <c r="AC53" s="46">
        <v>5.8802580494397</v>
      </c>
      <c r="AD53" s="47">
        <v>1.31529453237947</v>
      </c>
      <c r="AE53" s="47">
        <v>1.32360174384783</v>
      </c>
      <c r="AF53" s="48">
        <v>1.3527551</v>
      </c>
      <c r="AG53" s="48">
        <v>1.35319868</v>
      </c>
      <c r="AH53" s="46">
        <v>0.768052307117465</v>
      </c>
      <c r="AI53" s="46">
        <v>2.99728820126386</v>
      </c>
      <c r="AJ53" s="47">
        <v>1.20064258156348</v>
      </c>
      <c r="AK53" s="47">
        <v>1.22815777779721</v>
      </c>
      <c r="AL53" s="48">
        <v>0.53257535</v>
      </c>
      <c r="AM53" s="48">
        <v>0.55627105</v>
      </c>
      <c r="AN53" s="49">
        <f t="shared" si="12"/>
        <v>3.303663354</v>
      </c>
      <c r="AO53" s="50">
        <f t="shared" si="13"/>
        <v>1.352144989</v>
      </c>
      <c r="AP53" s="76">
        <f t="shared" si="14"/>
        <v>77.47220117</v>
      </c>
      <c r="AQ53" s="75">
        <f t="shared" si="15"/>
        <v>1.183278433</v>
      </c>
      <c r="AR53" s="52">
        <f t="shared" si="16"/>
        <v>67.79686017</v>
      </c>
      <c r="AS53" s="38"/>
      <c r="AT53" s="38"/>
      <c r="AU53" s="38"/>
      <c r="AV53" s="38"/>
      <c r="AW53" s="38"/>
      <c r="AX53" s="38"/>
    </row>
    <row r="54">
      <c r="A54" s="101" t="s">
        <v>50</v>
      </c>
      <c r="B54" s="6"/>
      <c r="C54" s="6"/>
      <c r="D54" s="6"/>
      <c r="E54" s="71" t="s">
        <v>64</v>
      </c>
      <c r="F54" s="6"/>
      <c r="G54" s="77">
        <v>8.0</v>
      </c>
      <c r="H54" s="6"/>
      <c r="I54" s="6"/>
      <c r="J54" s="72">
        <v>0.0037</v>
      </c>
      <c r="K54" s="73">
        <v>3.0E-4</v>
      </c>
      <c r="L54" s="73">
        <v>0.0148</v>
      </c>
      <c r="M54" s="74">
        <v>0.262</v>
      </c>
      <c r="N54" s="74">
        <v>0.136</v>
      </c>
      <c r="O54" s="73">
        <v>0.573</v>
      </c>
      <c r="P54" s="46">
        <v>1.20918814159552</v>
      </c>
      <c r="Q54" s="46">
        <v>4.49202718642788</v>
      </c>
      <c r="R54" s="47">
        <v>1.52042676010013</v>
      </c>
      <c r="S54" s="47">
        <v>1.57760076279427</v>
      </c>
      <c r="T54" s="48">
        <v>1.23217248</v>
      </c>
      <c r="U54" s="48">
        <v>1.24694025</v>
      </c>
      <c r="V54" s="46">
        <v>1.76557324471971</v>
      </c>
      <c r="W54" s="46">
        <v>6.37183208466349</v>
      </c>
      <c r="X54" s="47">
        <v>1.45458537538142</v>
      </c>
      <c r="Y54" s="47">
        <v>1.49875080075068</v>
      </c>
      <c r="Z54" s="48">
        <v>1.36445793</v>
      </c>
      <c r="AA54" s="48">
        <v>1.37627304</v>
      </c>
      <c r="AB54" s="46">
        <v>1.57713189103603</v>
      </c>
      <c r="AC54" s="46">
        <v>5.34026327950076</v>
      </c>
      <c r="AD54" s="47">
        <v>1.38935766255889</v>
      </c>
      <c r="AE54" s="47">
        <v>1.42626920245341</v>
      </c>
      <c r="AF54" s="48">
        <v>1.05260669</v>
      </c>
      <c r="AG54" s="48">
        <v>1.09631278</v>
      </c>
      <c r="AH54" s="46">
        <v>0.774674765755631</v>
      </c>
      <c r="AI54" s="46">
        <v>2.88974905480497</v>
      </c>
      <c r="AJ54" s="47">
        <v>1.33553736500047</v>
      </c>
      <c r="AK54" s="47">
        <v>1.40867621821973</v>
      </c>
      <c r="AL54" s="48">
        <v>1.31841551</v>
      </c>
      <c r="AM54" s="48">
        <v>1.31979508</v>
      </c>
      <c r="AN54" s="49">
        <f t="shared" si="12"/>
        <v>3.052554956</v>
      </c>
      <c r="AO54" s="50">
        <f t="shared" si="13"/>
        <v>1.451400518</v>
      </c>
      <c r="AP54" s="76">
        <f t="shared" si="14"/>
        <v>83.15912409</v>
      </c>
      <c r="AQ54" s="75">
        <f t="shared" si="15"/>
        <v>1.25087172</v>
      </c>
      <c r="AR54" s="52">
        <f t="shared" si="16"/>
        <v>71.66967027</v>
      </c>
      <c r="AS54" s="38"/>
      <c r="AT54" s="38"/>
      <c r="AU54" s="38"/>
      <c r="AV54" s="38"/>
      <c r="AW54" s="38"/>
      <c r="AX54" s="38"/>
    </row>
    <row r="55">
      <c r="A55" s="6"/>
      <c r="B55" s="6"/>
      <c r="C55" s="6"/>
      <c r="D55" s="6"/>
      <c r="E55" s="71" t="s">
        <v>65</v>
      </c>
      <c r="F55" s="6"/>
      <c r="G55" s="6"/>
      <c r="H55" s="6"/>
      <c r="I55" s="6"/>
      <c r="J55" s="72">
        <v>0.0148</v>
      </c>
      <c r="K55" s="73">
        <v>0.0013</v>
      </c>
      <c r="L55" s="73">
        <v>0.0148</v>
      </c>
      <c r="M55" s="74">
        <v>1.049</v>
      </c>
      <c r="N55" s="74">
        <v>0.529</v>
      </c>
      <c r="O55" s="73">
        <v>2.294</v>
      </c>
      <c r="P55" s="46">
        <v>1.20992144915303</v>
      </c>
      <c r="Q55" s="46">
        <v>4.47004414888621</v>
      </c>
      <c r="R55" s="47">
        <v>1.43788812673337</v>
      </c>
      <c r="S55" s="47">
        <v>1.47057178471875</v>
      </c>
      <c r="T55" s="48">
        <v>0.98875227</v>
      </c>
      <c r="U55" s="48">
        <v>0.97554139</v>
      </c>
      <c r="V55" s="46">
        <v>1.80183087617955</v>
      </c>
      <c r="W55" s="46">
        <v>6.50403139953471</v>
      </c>
      <c r="X55" s="47">
        <v>1.32598338199083</v>
      </c>
      <c r="Y55" s="47">
        <v>1.36315183376153</v>
      </c>
      <c r="Z55" s="48">
        <v>1.11368819</v>
      </c>
      <c r="AA55" s="48">
        <v>1.12091129</v>
      </c>
      <c r="AB55" s="46">
        <v>1.56610512471855</v>
      </c>
      <c r="AC55" s="46">
        <v>5.27581777436107</v>
      </c>
      <c r="AD55" s="47">
        <v>1.20859007837502</v>
      </c>
      <c r="AE55" s="47">
        <v>1.2572879568283</v>
      </c>
      <c r="AF55" s="48">
        <v>0.90629469</v>
      </c>
      <c r="AG55" s="48">
        <v>0.90774166</v>
      </c>
      <c r="AH55" s="46">
        <v>0.770412941236512</v>
      </c>
      <c r="AI55" s="46">
        <v>2.93236175365903</v>
      </c>
      <c r="AJ55" s="47">
        <v>1.24221160197665</v>
      </c>
      <c r="AK55" s="47">
        <v>1.29554260948726</v>
      </c>
      <c r="AL55" s="48">
        <v>1.03338493</v>
      </c>
      <c r="AM55" s="48">
        <v>1.06536397</v>
      </c>
      <c r="AN55" s="49">
        <f t="shared" si="12"/>
        <v>3.066315683</v>
      </c>
      <c r="AO55" s="50">
        <f t="shared" si="13"/>
        <v>1.325153422</v>
      </c>
      <c r="AP55" s="76">
        <f t="shared" si="14"/>
        <v>75.92569827</v>
      </c>
      <c r="AQ55" s="75">
        <f t="shared" si="15"/>
        <v>1.013959799</v>
      </c>
      <c r="AR55" s="52">
        <f t="shared" si="16"/>
        <v>58.09561706</v>
      </c>
      <c r="AS55" s="38"/>
      <c r="AT55" s="38"/>
      <c r="AU55" s="38"/>
      <c r="AV55" s="38"/>
      <c r="AW55" s="38"/>
      <c r="AX55" s="38"/>
    </row>
    <row r="56">
      <c r="A56" s="15"/>
      <c r="B56" s="6"/>
      <c r="C56" s="6"/>
      <c r="D56" s="6"/>
      <c r="E56" s="71" t="s">
        <v>36</v>
      </c>
      <c r="F56" s="6"/>
      <c r="G56" s="15"/>
      <c r="H56" s="6"/>
      <c r="I56" s="6"/>
      <c r="J56" s="72">
        <v>0.0592</v>
      </c>
      <c r="K56" s="73">
        <v>0.0052</v>
      </c>
      <c r="L56" s="73">
        <v>0.0148</v>
      </c>
      <c r="M56" s="74">
        <v>4.194</v>
      </c>
      <c r="N56" s="74">
        <v>2.102</v>
      </c>
      <c r="O56" s="73">
        <v>9.175</v>
      </c>
      <c r="P56" s="46">
        <v>1.16253617873866</v>
      </c>
      <c r="Q56" s="46">
        <v>4.34837905240146</v>
      </c>
      <c r="R56" s="47">
        <v>1.16500975417947</v>
      </c>
      <c r="S56" s="47">
        <v>1.18232590737355</v>
      </c>
      <c r="T56" s="48">
        <v>0.70448893</v>
      </c>
      <c r="U56" s="48">
        <v>0.69630097</v>
      </c>
      <c r="V56" s="46">
        <v>1.80581524037598</v>
      </c>
      <c r="W56" s="46">
        <v>6.54245385593788</v>
      </c>
      <c r="X56" s="47">
        <v>1.0895374640097</v>
      </c>
      <c r="Y56" s="47">
        <v>1.11162074129957</v>
      </c>
      <c r="Z56" s="48">
        <v>0.89956701</v>
      </c>
      <c r="AA56" s="48">
        <v>0.88397058</v>
      </c>
      <c r="AB56" s="46">
        <v>1.5339980648916</v>
      </c>
      <c r="AC56" s="46">
        <v>5.26749268737169</v>
      </c>
      <c r="AD56" s="47">
        <v>0.985550060808007</v>
      </c>
      <c r="AE56" s="47">
        <v>1.00311570880033</v>
      </c>
      <c r="AF56" s="48">
        <v>0.7504524</v>
      </c>
      <c r="AG56" s="48">
        <v>0.73569902</v>
      </c>
      <c r="AH56" s="46">
        <v>0.753414503417879</v>
      </c>
      <c r="AI56" s="46">
        <v>2.88530592171221</v>
      </c>
      <c r="AJ56" s="47">
        <v>1.03710282886016</v>
      </c>
      <c r="AK56" s="47">
        <v>1.04637262840582</v>
      </c>
      <c r="AL56" s="48">
        <v>0.83996783</v>
      </c>
      <c r="AM56" s="48">
        <v>0.8184047</v>
      </c>
      <c r="AN56" s="49">
        <f t="shared" si="12"/>
        <v>3.037424438</v>
      </c>
      <c r="AO56" s="50">
        <f t="shared" si="13"/>
        <v>1.077579387</v>
      </c>
      <c r="AP56" s="76">
        <f t="shared" si="14"/>
        <v>61.74075095</v>
      </c>
      <c r="AQ56" s="75">
        <f t="shared" si="15"/>
        <v>0.79110643</v>
      </c>
      <c r="AR56" s="52">
        <f t="shared" si="16"/>
        <v>45.32705958</v>
      </c>
      <c r="AS56" s="38"/>
      <c r="AT56" s="38"/>
      <c r="AU56" s="38"/>
      <c r="AV56" s="38"/>
      <c r="AW56" s="38"/>
      <c r="AX56" s="38"/>
    </row>
    <row r="57">
      <c r="A57" s="101" t="s">
        <v>49</v>
      </c>
      <c r="B57" s="6"/>
      <c r="C57" s="6"/>
      <c r="D57" s="6"/>
      <c r="E57" s="71" t="s">
        <v>64</v>
      </c>
      <c r="F57" s="6"/>
      <c r="G57" s="77">
        <v>16.0</v>
      </c>
      <c r="H57" s="6"/>
      <c r="I57" s="6"/>
      <c r="J57" s="72">
        <v>0.0145</v>
      </c>
      <c r="K57" s="73">
        <v>7.0E-4</v>
      </c>
      <c r="L57" s="73">
        <v>0.0572</v>
      </c>
      <c r="M57" s="74">
        <v>0.524</v>
      </c>
      <c r="N57" s="74">
        <v>0.281</v>
      </c>
      <c r="O57" s="73">
        <v>1.13</v>
      </c>
      <c r="P57" s="46">
        <v>1.18946281677245</v>
      </c>
      <c r="Q57" s="46">
        <v>4.40600505013862</v>
      </c>
      <c r="R57" s="47">
        <v>1.23195085283919</v>
      </c>
      <c r="S57" s="47">
        <v>1.25090556657275</v>
      </c>
      <c r="T57" s="48">
        <v>1.05432304</v>
      </c>
      <c r="U57" s="48">
        <v>1.0584</v>
      </c>
      <c r="V57" s="46">
        <v>1.75882305416617</v>
      </c>
      <c r="W57" s="46">
        <v>6.34225874883955</v>
      </c>
      <c r="X57" s="47">
        <v>1.15184199604829</v>
      </c>
      <c r="Y57" s="47">
        <v>1.21459450649611</v>
      </c>
      <c r="Z57" s="48">
        <v>1.05173911</v>
      </c>
      <c r="AA57" s="48">
        <v>1.05657015</v>
      </c>
      <c r="AB57" s="46">
        <v>1.51142987681915</v>
      </c>
      <c r="AC57" s="46">
        <v>5.10338485896682</v>
      </c>
      <c r="AD57" s="47">
        <v>0.947441232684667</v>
      </c>
      <c r="AE57" s="47">
        <v>0.961986698304858</v>
      </c>
      <c r="AF57" s="48">
        <v>0.66943825</v>
      </c>
      <c r="AG57" s="48">
        <v>0.66291173</v>
      </c>
      <c r="AH57" s="46">
        <v>0.814922502868012</v>
      </c>
      <c r="AI57" s="46">
        <v>2.93881645998817</v>
      </c>
      <c r="AJ57" s="47">
        <v>1.38033278369503</v>
      </c>
      <c r="AK57" s="47">
        <v>1.42551238748475</v>
      </c>
      <c r="AL57" s="48">
        <v>1.40054169</v>
      </c>
      <c r="AM57" s="48">
        <v>1.28489409</v>
      </c>
      <c r="AN57" s="49">
        <f t="shared" si="12"/>
        <v>3.008137921</v>
      </c>
      <c r="AO57" s="50">
        <f t="shared" si="13"/>
        <v>1.195570753</v>
      </c>
      <c r="AP57" s="76">
        <f t="shared" si="14"/>
        <v>68.50115826</v>
      </c>
      <c r="AQ57" s="75">
        <f t="shared" si="15"/>
        <v>1.029852258</v>
      </c>
      <c r="AR57" s="52">
        <f t="shared" si="16"/>
        <v>59.00618788</v>
      </c>
      <c r="AS57" s="38"/>
      <c r="AT57" s="38"/>
      <c r="AU57" s="38"/>
      <c r="AV57" s="38"/>
      <c r="AW57" s="38"/>
      <c r="AX57" s="38"/>
    </row>
    <row r="58">
      <c r="A58" s="6"/>
      <c r="B58" s="6"/>
      <c r="C58" s="6"/>
      <c r="D58" s="6"/>
      <c r="E58" s="71" t="s">
        <v>65</v>
      </c>
      <c r="F58" s="6"/>
      <c r="G58" s="6"/>
      <c r="H58" s="6"/>
      <c r="I58" s="6"/>
      <c r="J58" s="72">
        <v>0.0579</v>
      </c>
      <c r="K58" s="73">
        <v>0.0026</v>
      </c>
      <c r="L58" s="73">
        <v>0.0572</v>
      </c>
      <c r="M58" s="74">
        <v>2.097</v>
      </c>
      <c r="N58" s="74">
        <v>1.067</v>
      </c>
      <c r="O58" s="73">
        <v>4.522</v>
      </c>
      <c r="P58" s="46">
        <v>1.10069400191947</v>
      </c>
      <c r="Q58" s="46">
        <v>4.04889291172</v>
      </c>
      <c r="R58" s="47">
        <v>0.857629471712661</v>
      </c>
      <c r="S58" s="47">
        <v>0.858155489196915</v>
      </c>
      <c r="T58" s="48">
        <v>0.64312452</v>
      </c>
      <c r="U58" s="48">
        <v>0.61270418</v>
      </c>
      <c r="V58" s="46">
        <v>1.69308441508746</v>
      </c>
      <c r="W58" s="46">
        <v>6.07356265708532</v>
      </c>
      <c r="X58" s="47">
        <v>0.788006423993082</v>
      </c>
      <c r="Y58" s="47">
        <v>0.802194861365376</v>
      </c>
      <c r="Z58" s="48">
        <v>0.75292166</v>
      </c>
      <c r="AA58" s="48">
        <v>0.7244033</v>
      </c>
      <c r="AB58" s="46">
        <v>1.45344011165278</v>
      </c>
      <c r="AC58" s="46">
        <v>4.8469961887868</v>
      </c>
      <c r="AD58" s="47">
        <v>0.691349167628129</v>
      </c>
      <c r="AE58" s="47">
        <v>0.700884193535499</v>
      </c>
      <c r="AF58" s="48">
        <v>0.57000099</v>
      </c>
      <c r="AG58" s="48">
        <v>0.55963796</v>
      </c>
      <c r="AH58" s="46">
        <v>0.765716259251765</v>
      </c>
      <c r="AI58" s="46">
        <v>2.85489805696717</v>
      </c>
      <c r="AJ58" s="47">
        <v>1.19215765360924</v>
      </c>
      <c r="AK58" s="47">
        <v>1.22659513197422</v>
      </c>
      <c r="AL58" s="48">
        <v>0.78794991</v>
      </c>
      <c r="AM58" s="48">
        <v>0.78324007</v>
      </c>
      <c r="AN58" s="49">
        <f t="shared" si="12"/>
        <v>2.854660575</v>
      </c>
      <c r="AO58" s="50">
        <f t="shared" si="13"/>
        <v>0.8896215491</v>
      </c>
      <c r="AP58" s="76">
        <f t="shared" si="14"/>
        <v>50.97156013</v>
      </c>
      <c r="AQ58" s="75">
        <f t="shared" si="15"/>
        <v>0.6792478238</v>
      </c>
      <c r="AR58" s="52">
        <f t="shared" si="16"/>
        <v>38.91803354</v>
      </c>
      <c r="AS58" s="38"/>
      <c r="AT58" s="38"/>
      <c r="AU58" s="38"/>
      <c r="AV58" s="38"/>
      <c r="AW58" s="38"/>
      <c r="AX58" s="38"/>
    </row>
    <row r="59">
      <c r="A59" s="15"/>
      <c r="B59" s="6"/>
      <c r="C59" s="6"/>
      <c r="D59" s="6"/>
      <c r="E59" s="71" t="s">
        <v>36</v>
      </c>
      <c r="F59" s="6"/>
      <c r="G59" s="15"/>
      <c r="H59" s="6"/>
      <c r="I59" s="6"/>
      <c r="J59" s="72">
        <v>0.2317</v>
      </c>
      <c r="K59" s="73">
        <v>0.0105</v>
      </c>
      <c r="L59" s="73">
        <v>0.0572</v>
      </c>
      <c r="M59" s="74">
        <v>8.389</v>
      </c>
      <c r="N59" s="74">
        <v>4.213</v>
      </c>
      <c r="O59" s="73">
        <v>18.088</v>
      </c>
      <c r="P59" s="46">
        <v>0.970920731680264</v>
      </c>
      <c r="Q59" s="46">
        <v>3.58982948905933</v>
      </c>
      <c r="R59" s="47">
        <v>0.522985966319616</v>
      </c>
      <c r="S59" s="47">
        <v>0.522284536277715</v>
      </c>
      <c r="T59" s="48">
        <v>0.47600722</v>
      </c>
      <c r="U59" s="48">
        <v>0.44951801</v>
      </c>
      <c r="V59" s="46">
        <v>1.59251465805925</v>
      </c>
      <c r="W59" s="46">
        <v>5.67842877058844</v>
      </c>
      <c r="X59" s="47">
        <v>0.544871877039386</v>
      </c>
      <c r="Y59" s="47">
        <v>0.540102935010571</v>
      </c>
      <c r="Z59" s="48">
        <v>0.65219601</v>
      </c>
      <c r="AA59" s="48">
        <v>0.61915921</v>
      </c>
      <c r="AB59" s="46">
        <v>1.35602812276288</v>
      </c>
      <c r="AC59" s="46">
        <v>4.5636822487391</v>
      </c>
      <c r="AD59" s="47">
        <v>0.502443200761795</v>
      </c>
      <c r="AE59" s="47">
        <v>0.503456187173722</v>
      </c>
      <c r="AF59" s="48">
        <v>0.53298917</v>
      </c>
      <c r="AG59" s="48">
        <v>0.50304255</v>
      </c>
      <c r="AH59" s="46">
        <v>0.624620798272182</v>
      </c>
      <c r="AI59" s="46">
        <v>2.33858968559765</v>
      </c>
      <c r="AJ59" s="47">
        <v>0.709664350152552</v>
      </c>
      <c r="AK59" s="47">
        <v>0.710433741908572</v>
      </c>
      <c r="AL59" s="48">
        <v>0.50245206</v>
      </c>
      <c r="AM59" s="48">
        <v>0.48584683</v>
      </c>
      <c r="AN59" s="49">
        <f t="shared" si="12"/>
        <v>2.589326813</v>
      </c>
      <c r="AO59" s="50">
        <f t="shared" si="13"/>
        <v>0.5695303493</v>
      </c>
      <c r="AP59" s="76">
        <f t="shared" si="14"/>
        <v>32.63168532</v>
      </c>
      <c r="AQ59" s="75">
        <f t="shared" si="15"/>
        <v>0.5276513825</v>
      </c>
      <c r="AR59" s="52">
        <f t="shared" si="16"/>
        <v>30.23219727</v>
      </c>
      <c r="AS59" s="38"/>
      <c r="AT59" s="38"/>
      <c r="AU59" s="38"/>
      <c r="AV59" s="38"/>
      <c r="AW59" s="38"/>
      <c r="AX59" s="38"/>
    </row>
    <row r="60">
      <c r="A60" s="101" t="s">
        <v>48</v>
      </c>
      <c r="B60" s="6"/>
      <c r="C60" s="6"/>
      <c r="D60" s="6"/>
      <c r="E60" s="71" t="s">
        <v>64</v>
      </c>
      <c r="F60" s="6"/>
      <c r="G60" s="102">
        <v>32.0</v>
      </c>
      <c r="H60" s="6"/>
      <c r="I60" s="6"/>
      <c r="J60" s="72">
        <v>0.0573</v>
      </c>
      <c r="K60" s="73">
        <v>0.0013</v>
      </c>
      <c r="L60" s="73">
        <v>0.225</v>
      </c>
      <c r="M60" s="74">
        <v>1.049</v>
      </c>
      <c r="N60" s="74">
        <v>0.598</v>
      </c>
      <c r="O60" s="73">
        <v>2.245</v>
      </c>
      <c r="P60" s="46">
        <v>1.34022307514636</v>
      </c>
      <c r="Q60" s="46">
        <v>5.03436775407218</v>
      </c>
      <c r="R60" s="47">
        <v>1.49839986364635</v>
      </c>
      <c r="S60" s="47">
        <v>1.51445522801072</v>
      </c>
      <c r="T60" s="48">
        <v>1.64782544</v>
      </c>
      <c r="U60" s="48">
        <v>1.63961515</v>
      </c>
      <c r="V60" s="46">
        <v>1.76138659523348</v>
      </c>
      <c r="W60" s="46">
        <v>6.39309400562795</v>
      </c>
      <c r="X60" s="47">
        <v>1.24983021790751</v>
      </c>
      <c r="Y60" s="47">
        <v>1.29999800747391</v>
      </c>
      <c r="Z60" s="48">
        <v>1.37072004</v>
      </c>
      <c r="AA60" s="48">
        <v>1.37641843</v>
      </c>
      <c r="AB60" s="46">
        <v>1.57118698251348</v>
      </c>
      <c r="AC60" s="46">
        <v>5.40519118065838</v>
      </c>
      <c r="AD60" s="47">
        <v>1.1501440946529</v>
      </c>
      <c r="AE60" s="47">
        <v>1.18482865169952</v>
      </c>
      <c r="AF60" s="48">
        <v>1.22898499</v>
      </c>
      <c r="AG60" s="48">
        <v>1.23381007</v>
      </c>
      <c r="AH60" s="46">
        <v>0.94359490460646</v>
      </c>
      <c r="AI60" s="46">
        <v>3.56110067706142</v>
      </c>
      <c r="AJ60" s="47">
        <v>1.54977988838726</v>
      </c>
      <c r="AK60" s="47">
        <v>1.61370021020693</v>
      </c>
      <c r="AL60" s="48">
        <v>1.569996</v>
      </c>
      <c r="AM60" s="48">
        <v>1.64863595</v>
      </c>
      <c r="AN60" s="49">
        <f t="shared" si="12"/>
        <v>3.251268147</v>
      </c>
      <c r="AO60" s="50">
        <f t="shared" si="13"/>
        <v>1.38264202</v>
      </c>
      <c r="AP60" s="76">
        <f t="shared" si="14"/>
        <v>79.21955234</v>
      </c>
      <c r="AQ60" s="75">
        <f t="shared" si="15"/>
        <v>1.464500759</v>
      </c>
      <c r="AR60" s="52">
        <f t="shared" si="16"/>
        <v>83.90971257</v>
      </c>
      <c r="AS60" s="38"/>
      <c r="AT60" s="38"/>
      <c r="AU60" s="38"/>
      <c r="AV60" s="38"/>
      <c r="AW60" s="38"/>
      <c r="AX60" s="38"/>
    </row>
    <row r="61">
      <c r="A61" s="6"/>
      <c r="B61" s="6"/>
      <c r="C61" s="6"/>
      <c r="D61" s="6"/>
      <c r="E61" s="71" t="s">
        <v>65</v>
      </c>
      <c r="F61" s="6"/>
      <c r="G61" s="6"/>
      <c r="H61" s="6"/>
      <c r="I61" s="6"/>
      <c r="J61" s="72">
        <v>0.2291</v>
      </c>
      <c r="K61" s="73">
        <v>0.0052</v>
      </c>
      <c r="L61" s="73">
        <v>0.225</v>
      </c>
      <c r="M61" s="74">
        <v>4.194</v>
      </c>
      <c r="N61" s="74">
        <v>2.171</v>
      </c>
      <c r="O61" s="73">
        <v>8.978</v>
      </c>
      <c r="P61" s="46">
        <v>1.29291236564363</v>
      </c>
      <c r="Q61" s="46">
        <v>4.88343687536281</v>
      </c>
      <c r="R61" s="47">
        <v>1.24956094567681</v>
      </c>
      <c r="S61" s="47">
        <v>1.26583538674065</v>
      </c>
      <c r="T61" s="48">
        <v>1.4458857</v>
      </c>
      <c r="U61" s="48">
        <v>1.44664226</v>
      </c>
      <c r="V61" s="46">
        <v>1.72199690077653</v>
      </c>
      <c r="W61" s="46">
        <v>6.22499200005806</v>
      </c>
      <c r="X61" s="47">
        <v>0.986048954719352</v>
      </c>
      <c r="Y61" s="47">
        <v>1.01678317234431</v>
      </c>
      <c r="Z61" s="48">
        <v>1.16578624</v>
      </c>
      <c r="AA61" s="48">
        <v>1.15346878</v>
      </c>
      <c r="AB61" s="46">
        <v>1.51016809316404</v>
      </c>
      <c r="AC61" s="46">
        <v>5.16731969860414</v>
      </c>
      <c r="AD61" s="47">
        <v>0.89253947105117</v>
      </c>
      <c r="AE61" s="47">
        <v>0.912270992033502</v>
      </c>
      <c r="AF61" s="48">
        <v>1.06378756</v>
      </c>
      <c r="AG61" s="48">
        <v>1.05863989</v>
      </c>
      <c r="AH61" s="46">
        <v>0.861124715733785</v>
      </c>
      <c r="AI61" s="46">
        <v>3.3277051949022</v>
      </c>
      <c r="AJ61" s="47">
        <v>1.21389365417817</v>
      </c>
      <c r="AK61" s="47">
        <v>1.28158158763751</v>
      </c>
      <c r="AL61" s="48">
        <v>1.14079779</v>
      </c>
      <c r="AM61" s="48">
        <v>1.24402483</v>
      </c>
      <c r="AN61" s="49">
        <f t="shared" si="12"/>
        <v>3.123706981</v>
      </c>
      <c r="AO61" s="50">
        <f t="shared" si="13"/>
        <v>1.102314271</v>
      </c>
      <c r="AP61" s="76">
        <f t="shared" si="14"/>
        <v>63.1579554</v>
      </c>
      <c r="AQ61" s="75">
        <f t="shared" si="15"/>
        <v>1.214879131</v>
      </c>
      <c r="AR61" s="52">
        <f t="shared" si="16"/>
        <v>69.60744684</v>
      </c>
      <c r="AS61" s="38"/>
      <c r="AT61" s="38"/>
      <c r="AU61" s="38"/>
      <c r="AV61" s="38"/>
      <c r="AW61" s="38"/>
      <c r="AX61" s="38"/>
    </row>
    <row r="62">
      <c r="A62" s="15"/>
      <c r="B62" s="15"/>
      <c r="C62" s="15"/>
      <c r="D62" s="15"/>
      <c r="E62" s="71" t="s">
        <v>36</v>
      </c>
      <c r="F62" s="15"/>
      <c r="G62" s="15"/>
      <c r="H62" s="15"/>
      <c r="I62" s="15"/>
      <c r="J62" s="72">
        <v>0.9165</v>
      </c>
      <c r="K62" s="73">
        <v>0.021</v>
      </c>
      <c r="L62" s="73">
        <v>0.225</v>
      </c>
      <c r="M62" s="74">
        <v>16.777</v>
      </c>
      <c r="N62" s="74">
        <v>8.463</v>
      </c>
      <c r="O62" s="73">
        <v>35.914</v>
      </c>
      <c r="P62" s="46">
        <v>1.08237709888568</v>
      </c>
      <c r="Q62" s="46">
        <v>4.06576624806998</v>
      </c>
      <c r="R62" s="47">
        <v>0.745123512820985</v>
      </c>
      <c r="S62" s="47">
        <v>0.754329725144063</v>
      </c>
      <c r="T62" s="48">
        <v>0.87976496</v>
      </c>
      <c r="U62" s="48">
        <v>0.86566076</v>
      </c>
      <c r="V62" s="46">
        <v>1.67643357648394</v>
      </c>
      <c r="W62" s="46">
        <v>5.989817202794</v>
      </c>
      <c r="X62" s="47">
        <v>0.782390302795952</v>
      </c>
      <c r="Y62" s="47">
        <v>0.784491905587635</v>
      </c>
      <c r="Z62" s="48">
        <v>0.97442176</v>
      </c>
      <c r="AA62" s="48">
        <v>0.9476989</v>
      </c>
      <c r="AB62" s="46">
        <v>1.42770307468425</v>
      </c>
      <c r="AC62" s="46">
        <v>4.88865519139179</v>
      </c>
      <c r="AD62" s="47">
        <v>0.680577222256401</v>
      </c>
      <c r="AE62" s="47">
        <v>0.665515161011391</v>
      </c>
      <c r="AF62" s="48">
        <v>0.8889036</v>
      </c>
      <c r="AG62" s="48">
        <v>0.86529873</v>
      </c>
      <c r="AH62" s="46">
        <v>0.672884995444453</v>
      </c>
      <c r="AI62" s="46">
        <v>2.60432402918249</v>
      </c>
      <c r="AJ62" s="47">
        <v>0.663797894381369</v>
      </c>
      <c r="AK62" s="47">
        <v>0.699425420567576</v>
      </c>
      <c r="AL62" s="48">
        <v>0.49436616</v>
      </c>
      <c r="AM62" s="48">
        <v>0.51409926</v>
      </c>
      <c r="AN62" s="49">
        <f t="shared" si="12"/>
        <v>2.800995177</v>
      </c>
      <c r="AO62" s="50">
        <f t="shared" si="13"/>
        <v>0.7219563931</v>
      </c>
      <c r="AP62" s="76">
        <f t="shared" si="14"/>
        <v>41.36505432</v>
      </c>
      <c r="AQ62" s="75">
        <f t="shared" si="15"/>
        <v>0.8037767663</v>
      </c>
      <c r="AR62" s="52">
        <f t="shared" si="16"/>
        <v>46.05301638</v>
      </c>
      <c r="AS62" s="38"/>
      <c r="AT62" s="38"/>
      <c r="AU62" s="38"/>
      <c r="AV62" s="38"/>
      <c r="AW62" s="38"/>
      <c r="AX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</row>
    <row r="64">
      <c r="A64" s="105" t="s">
        <v>66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4"/>
    </row>
    <row r="65">
      <c r="A65" s="106" t="s">
        <v>67</v>
      </c>
      <c r="B65" s="107" t="b">
        <v>1</v>
      </c>
      <c r="C65" s="107" t="s">
        <v>36</v>
      </c>
      <c r="D65" s="108" t="s">
        <v>37</v>
      </c>
      <c r="E65" s="107" t="s">
        <v>38</v>
      </c>
      <c r="F65" s="109" t="s">
        <v>37</v>
      </c>
      <c r="G65" s="108">
        <v>32.0</v>
      </c>
      <c r="H65" s="110" t="s">
        <v>39</v>
      </c>
      <c r="I65" s="110" t="s">
        <v>37</v>
      </c>
      <c r="J65" s="111" t="s">
        <v>37</v>
      </c>
      <c r="K65" s="110" t="s">
        <v>37</v>
      </c>
      <c r="L65" s="107" t="s">
        <v>37</v>
      </c>
      <c r="M65" s="112" t="s">
        <v>37</v>
      </c>
      <c r="N65" s="113" t="s">
        <v>37</v>
      </c>
      <c r="O65" s="107" t="s">
        <v>37</v>
      </c>
      <c r="P65" s="114">
        <v>0.71127349</v>
      </c>
      <c r="Q65" s="114">
        <v>2.62827841</v>
      </c>
      <c r="R65" s="115">
        <v>0.21327987</v>
      </c>
      <c r="S65" s="115">
        <v>0.1884272</v>
      </c>
      <c r="T65" s="116"/>
      <c r="U65" s="116"/>
      <c r="V65" s="114">
        <v>1.4407965</v>
      </c>
      <c r="W65" s="114">
        <v>4.92927294</v>
      </c>
      <c r="X65" s="115">
        <v>0.33747872</v>
      </c>
      <c r="Y65" s="115">
        <v>0.30489758</v>
      </c>
      <c r="Z65" s="116"/>
      <c r="AA65" s="116"/>
      <c r="AB65" s="114">
        <v>1.15619051</v>
      </c>
      <c r="AC65" s="114">
        <v>3.88250996</v>
      </c>
      <c r="AD65" s="115">
        <v>0.24097943</v>
      </c>
      <c r="AE65" s="115">
        <v>0.20063409</v>
      </c>
      <c r="AF65" s="116"/>
      <c r="AG65" s="116"/>
      <c r="AH65" s="114">
        <v>0.53372629</v>
      </c>
      <c r="AI65" s="114">
        <v>2.01663932</v>
      </c>
      <c r="AJ65" s="115">
        <v>0.30986295</v>
      </c>
      <c r="AK65" s="115">
        <v>0.28756705</v>
      </c>
      <c r="AL65" s="116"/>
      <c r="AM65" s="116"/>
      <c r="AN65" s="49">
        <f t="shared" ref="AN65:AN66" si="17">AVERAGE(P65,Q65,V65,W65,AB65,AC65,AH65,AI65)</f>
        <v>2.162335928</v>
      </c>
      <c r="AO65" s="50">
        <f t="shared" ref="AO65:AO66" si="18">AVERAGE(R65,S65,X65,AD65,AE65,Y65,AJ65,AK65)</f>
        <v>0.2603908613</v>
      </c>
      <c r="AP65" s="76">
        <f t="shared" ref="AP65:AP66" si="19">AO65 * (180/PI())</f>
        <v>14.91929737</v>
      </c>
      <c r="AQ65" s="75"/>
      <c r="AR65" s="52"/>
      <c r="AS65" s="38"/>
      <c r="AT65" s="38"/>
      <c r="AU65" s="38"/>
      <c r="AV65" s="38"/>
      <c r="AW65" s="38"/>
      <c r="AX65" s="38"/>
    </row>
    <row r="66">
      <c r="A66" s="106" t="s">
        <v>68</v>
      </c>
      <c r="B66" s="107" t="b">
        <v>1</v>
      </c>
      <c r="C66" s="107" t="s">
        <v>36</v>
      </c>
      <c r="D66" s="108" t="s">
        <v>37</v>
      </c>
      <c r="E66" s="107" t="s">
        <v>38</v>
      </c>
      <c r="F66" s="109" t="s">
        <v>37</v>
      </c>
      <c r="G66" s="108">
        <v>32.0</v>
      </c>
      <c r="H66" s="110" t="s">
        <v>39</v>
      </c>
      <c r="I66" s="110" t="s">
        <v>37</v>
      </c>
      <c r="J66" s="111" t="s">
        <v>37</v>
      </c>
      <c r="K66" s="110" t="s">
        <v>37</v>
      </c>
      <c r="L66" s="107" t="s">
        <v>37</v>
      </c>
      <c r="M66" s="112" t="s">
        <v>37</v>
      </c>
      <c r="N66" s="113" t="s">
        <v>37</v>
      </c>
      <c r="O66" s="107" t="s">
        <v>37</v>
      </c>
      <c r="P66" s="114">
        <v>0.9756506</v>
      </c>
      <c r="Q66" s="114">
        <v>3.72365449</v>
      </c>
      <c r="R66" s="115">
        <v>0.38584949</v>
      </c>
      <c r="S66" s="115">
        <v>0.37679452</v>
      </c>
      <c r="T66" s="116"/>
      <c r="U66" s="116"/>
      <c r="V66" s="114">
        <v>1.77031257</v>
      </c>
      <c r="W66" s="114">
        <v>6.27438006</v>
      </c>
      <c r="X66" s="115">
        <v>0.62624038</v>
      </c>
      <c r="Y66" s="115">
        <v>0.58547889</v>
      </c>
      <c r="Z66" s="116"/>
      <c r="AA66" s="116"/>
      <c r="AB66" s="114">
        <v>1.49539107</v>
      </c>
      <c r="AC66" s="114">
        <v>5.23570715</v>
      </c>
      <c r="AD66" s="115">
        <v>0.51313243</v>
      </c>
      <c r="AE66" s="115">
        <v>0.4685657</v>
      </c>
      <c r="AF66" s="116"/>
      <c r="AG66" s="116"/>
      <c r="AH66" s="114">
        <v>0.56835769</v>
      </c>
      <c r="AI66" s="114">
        <v>2.12254033</v>
      </c>
      <c r="AJ66" s="115">
        <v>0.30588249</v>
      </c>
      <c r="AK66" s="115">
        <v>0.29060763</v>
      </c>
      <c r="AL66" s="116"/>
      <c r="AM66" s="116"/>
      <c r="AN66" s="49">
        <f t="shared" si="17"/>
        <v>2.770749245</v>
      </c>
      <c r="AO66" s="50">
        <f t="shared" si="18"/>
        <v>0.4440689413</v>
      </c>
      <c r="AP66" s="76">
        <f t="shared" si="19"/>
        <v>25.44327615</v>
      </c>
      <c r="AQ66" s="75"/>
      <c r="AR66" s="52"/>
      <c r="AS66" s="38"/>
      <c r="AT66" s="38"/>
      <c r="AU66" s="38"/>
      <c r="AV66" s="38"/>
      <c r="AW66" s="38"/>
      <c r="AX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</row>
    <row r="68">
      <c r="A68" s="105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105"/>
      <c r="AR68" s="105"/>
      <c r="AS68" s="117" t="s">
        <v>70</v>
      </c>
      <c r="AT68" s="117" t="s">
        <v>71</v>
      </c>
      <c r="AU68" s="117" t="s">
        <v>72</v>
      </c>
      <c r="AV68" s="117" t="s">
        <v>73</v>
      </c>
      <c r="AW68" s="118"/>
      <c r="AX68" s="118"/>
    </row>
    <row r="69" ht="37.5" customHeight="1">
      <c r="A69" s="119" t="s">
        <v>44</v>
      </c>
      <c r="B69" s="120"/>
      <c r="C69" s="121" t="s">
        <v>36</v>
      </c>
      <c r="D69" s="122" t="s">
        <v>74</v>
      </c>
      <c r="E69" s="123" t="s">
        <v>38</v>
      </c>
      <c r="F69" s="124" t="s">
        <v>37</v>
      </c>
      <c r="G69" s="125">
        <v>32.0</v>
      </c>
      <c r="H69" s="126" t="s">
        <v>75</v>
      </c>
      <c r="I69" s="126">
        <v>8.0</v>
      </c>
      <c r="J69" s="123"/>
      <c r="K69" s="98"/>
      <c r="L69" s="123"/>
      <c r="M69" s="127"/>
      <c r="N69" s="128"/>
      <c r="O69" s="123"/>
      <c r="P69" s="129">
        <v>0.957817538843949</v>
      </c>
      <c r="Q69" s="129">
        <v>3.62452578665589</v>
      </c>
      <c r="R69" s="129">
        <v>0.39300436</v>
      </c>
      <c r="S69" s="129">
        <v>0.38670659</v>
      </c>
      <c r="T69" s="129"/>
      <c r="U69" s="129"/>
      <c r="V69" s="129">
        <v>1.75135035100897</v>
      </c>
      <c r="W69" s="129">
        <v>6.24993053773883</v>
      </c>
      <c r="X69" s="129">
        <v>0.53649649</v>
      </c>
      <c r="Y69" s="129">
        <v>0.51830882</v>
      </c>
      <c r="Z69" s="129"/>
      <c r="AA69" s="129"/>
      <c r="AB69" s="129">
        <v>1.47630239487607</v>
      </c>
      <c r="AC69" s="129">
        <v>5.18818199432795</v>
      </c>
      <c r="AD69" s="129">
        <v>0.41474339</v>
      </c>
      <c r="AE69" s="129">
        <v>0.39688014</v>
      </c>
      <c r="AF69" s="129"/>
      <c r="AG69" s="129"/>
      <c r="AH69" s="129">
        <v>0.516932484899363</v>
      </c>
      <c r="AI69" s="129">
        <v>1.92070266815399</v>
      </c>
      <c r="AJ69" s="129">
        <v>0.34525685</v>
      </c>
      <c r="AK69" s="129">
        <v>0.31951135</v>
      </c>
      <c r="AL69" s="129"/>
      <c r="AM69" s="129"/>
      <c r="AN69" s="86">
        <f t="shared" ref="AN69:AN104" si="20">AVERAGE(P69,Q69,V69,W69,AB69,AC69,AH69,AI69)</f>
        <v>2.71071797</v>
      </c>
      <c r="AO69" s="86">
        <f t="shared" ref="AO69:AO104" si="21">AVERAGE(R69,S69,X69,AD69,AE69,Y69,AJ69,AK69)</f>
        <v>0.4138634988</v>
      </c>
      <c r="AP69" s="87">
        <f t="shared" ref="AP69:AP104" si="22">AO69 * (180/PI())</f>
        <v>23.71263177</v>
      </c>
      <c r="AQ69" s="86"/>
      <c r="AR69" s="87"/>
      <c r="AS69" s="130">
        <f t="shared" ref="AS69:AS72" si="23">(AN69/$AN$14 - 1) *100</f>
        <v>0.3638651037</v>
      </c>
      <c r="AT69" s="130">
        <f t="shared" ref="AT69:AT72" si="24">(AO69/$AO$14 - 1) *100</f>
        <v>0.5367212784</v>
      </c>
      <c r="AU69" s="130"/>
      <c r="AV69" s="131"/>
      <c r="AW69" s="132"/>
      <c r="AX69" s="132"/>
    </row>
    <row r="70" ht="37.5" customHeight="1">
      <c r="A70" s="6"/>
      <c r="B70" s="120"/>
      <c r="C70" s="6"/>
      <c r="D70" s="122" t="s">
        <v>76</v>
      </c>
      <c r="E70" s="123" t="s">
        <v>38</v>
      </c>
      <c r="F70" s="124" t="s">
        <v>37</v>
      </c>
      <c r="G70" s="6"/>
      <c r="H70" s="6"/>
      <c r="I70" s="6"/>
      <c r="J70" s="123"/>
      <c r="K70" s="98"/>
      <c r="L70" s="123"/>
      <c r="M70" s="127"/>
      <c r="N70" s="128"/>
      <c r="O70" s="123"/>
      <c r="P70" s="129">
        <v>0.949976204211585</v>
      </c>
      <c r="Q70" s="129">
        <v>3.6108103194083</v>
      </c>
      <c r="R70" s="129">
        <v>0.41373239</v>
      </c>
      <c r="S70" s="129">
        <v>0.41356807</v>
      </c>
      <c r="T70" s="129">
        <v>0.40418769</v>
      </c>
      <c r="U70" s="129">
        <v>0.40175275</v>
      </c>
      <c r="V70" s="129">
        <v>1.71898838836656</v>
      </c>
      <c r="W70" s="129">
        <v>6.13030675474245</v>
      </c>
      <c r="X70" s="129">
        <v>0.52540815</v>
      </c>
      <c r="Y70" s="129">
        <v>0.52189776</v>
      </c>
      <c r="Z70" s="129">
        <v>0.58077405</v>
      </c>
      <c r="AA70" s="129">
        <v>0.56843956</v>
      </c>
      <c r="AB70" s="129">
        <v>1.45341976358306</v>
      </c>
      <c r="AC70" s="129">
        <v>5.10947814723608</v>
      </c>
      <c r="AD70" s="129">
        <v>0.42958013</v>
      </c>
      <c r="AE70" s="129">
        <v>0.41759382</v>
      </c>
      <c r="AF70" s="129">
        <v>0.3947088</v>
      </c>
      <c r="AG70" s="129">
        <v>0.38286391</v>
      </c>
      <c r="AH70" s="129">
        <v>0.599390106823532</v>
      </c>
      <c r="AI70" s="129">
        <v>2.26262086262222</v>
      </c>
      <c r="AJ70" s="129">
        <v>0.43888143</v>
      </c>
      <c r="AK70" s="129">
        <v>0.43566836</v>
      </c>
      <c r="AL70" s="129">
        <v>0.45464961</v>
      </c>
      <c r="AM70" s="129">
        <v>0.46720471</v>
      </c>
      <c r="AN70" s="86">
        <f t="shared" si="20"/>
        <v>2.729373818</v>
      </c>
      <c r="AO70" s="86">
        <f t="shared" si="21"/>
        <v>0.4495412638</v>
      </c>
      <c r="AP70" s="87">
        <f t="shared" si="22"/>
        <v>25.75681713</v>
      </c>
      <c r="AQ70" s="86">
        <f t="shared" ref="AQ70:AQ103" si="25">AVERAGE(T70:U70,Z70:AA70,AF70:AG70,AL70:AM70)</f>
        <v>0.456822635</v>
      </c>
      <c r="AR70" s="87">
        <f t="shared" ref="AR70:AR103" si="26"> AQ70 * (180/PI())</f>
        <v>26.17400897</v>
      </c>
      <c r="AS70" s="130">
        <f t="shared" si="23"/>
        <v>1.054594687</v>
      </c>
      <c r="AT70" s="130">
        <f t="shared" si="24"/>
        <v>9.203650173</v>
      </c>
      <c r="AU70" s="130">
        <f t="shared" ref="AU70:AU72" si="27">(AQ70/$AQ$14 - 1) *100</f>
        <v>4.854796472</v>
      </c>
      <c r="AV70" s="131"/>
      <c r="AW70" s="132"/>
      <c r="AX70" s="132"/>
    </row>
    <row r="71" ht="37.5" customHeight="1">
      <c r="A71" s="6"/>
      <c r="B71" s="120"/>
      <c r="C71" s="6"/>
      <c r="D71" s="122" t="s">
        <v>77</v>
      </c>
      <c r="E71" s="123" t="s">
        <v>38</v>
      </c>
      <c r="F71" s="124" t="s">
        <v>37</v>
      </c>
      <c r="G71" s="6"/>
      <c r="H71" s="6"/>
      <c r="I71" s="6"/>
      <c r="J71" s="123"/>
      <c r="K71" s="98"/>
      <c r="L71" s="123"/>
      <c r="M71" s="127"/>
      <c r="N71" s="128"/>
      <c r="O71" s="123"/>
      <c r="P71" s="129">
        <v>1.44782786632983</v>
      </c>
      <c r="Q71" s="129">
        <v>5.61358678294137</v>
      </c>
      <c r="R71" s="129">
        <v>1.56163019</v>
      </c>
      <c r="S71" s="129">
        <v>1.58465538</v>
      </c>
      <c r="T71" s="129">
        <v>1.70264684</v>
      </c>
      <c r="U71" s="129">
        <v>1.7484092</v>
      </c>
      <c r="V71" s="129">
        <v>2.24235310437455</v>
      </c>
      <c r="W71" s="129">
        <v>8.29559678681451</v>
      </c>
      <c r="X71" s="129">
        <v>1.53153044</v>
      </c>
      <c r="Y71" s="129">
        <v>1.55866211</v>
      </c>
      <c r="Z71" s="129">
        <v>1.44785337</v>
      </c>
      <c r="AA71" s="129">
        <v>1.58004127</v>
      </c>
      <c r="AB71" s="129">
        <v>2.00031460926264</v>
      </c>
      <c r="AC71" s="129">
        <v>7.35771670304365</v>
      </c>
      <c r="AD71" s="129">
        <v>1.52149203</v>
      </c>
      <c r="AE71" s="129">
        <v>1.54645867</v>
      </c>
      <c r="AF71" s="129">
        <v>1.48430515</v>
      </c>
      <c r="AG71" s="129">
        <v>1.56545662</v>
      </c>
      <c r="AH71" s="129">
        <v>1.07180789161209</v>
      </c>
      <c r="AI71" s="129">
        <v>4.1170088867662</v>
      </c>
      <c r="AJ71" s="129">
        <v>1.55970522</v>
      </c>
      <c r="AK71" s="129">
        <v>1.56740459</v>
      </c>
      <c r="AL71" s="129">
        <v>1.58643451</v>
      </c>
      <c r="AM71" s="129">
        <v>1.55740887</v>
      </c>
      <c r="AN71" s="86">
        <f t="shared" si="20"/>
        <v>4.018276579</v>
      </c>
      <c r="AO71" s="86">
        <f t="shared" si="21"/>
        <v>1.553942329</v>
      </c>
      <c r="AP71" s="87">
        <f t="shared" si="22"/>
        <v>89.03433704</v>
      </c>
      <c r="AQ71" s="86">
        <f t="shared" si="25"/>
        <v>1.584069479</v>
      </c>
      <c r="AR71" s="87">
        <f t="shared" si="26"/>
        <v>90.76049559</v>
      </c>
      <c r="AS71" s="130">
        <f t="shared" si="23"/>
        <v>48.775997</v>
      </c>
      <c r="AT71" s="130">
        <f t="shared" si="24"/>
        <v>277.4874258</v>
      </c>
      <c r="AU71" s="130">
        <f t="shared" si="27"/>
        <v>263.5924975</v>
      </c>
      <c r="AV71" s="131"/>
      <c r="AW71" s="132"/>
      <c r="AX71" s="132"/>
    </row>
    <row r="72" ht="37.5" customHeight="1">
      <c r="A72" s="6"/>
      <c r="B72" s="120"/>
      <c r="C72" s="6"/>
      <c r="D72" s="121" t="s">
        <v>78</v>
      </c>
      <c r="E72" s="120" t="s">
        <v>38</v>
      </c>
      <c r="F72" s="109" t="s">
        <v>37</v>
      </c>
      <c r="G72" s="6"/>
      <c r="H72" s="6"/>
      <c r="I72" s="6"/>
      <c r="J72" s="133">
        <v>4.8738</v>
      </c>
      <c r="K72" s="110">
        <v>0.1174</v>
      </c>
      <c r="L72" s="120">
        <v>0.0748</v>
      </c>
      <c r="M72" s="134">
        <v>18.874</v>
      </c>
      <c r="N72" s="135">
        <v>8.407</v>
      </c>
      <c r="O72" s="120">
        <v>48.497</v>
      </c>
      <c r="P72" s="136">
        <v>0.963086554730876</v>
      </c>
      <c r="Q72" s="136">
        <v>3.65336664729283</v>
      </c>
      <c r="R72" s="137">
        <v>0.37204742</v>
      </c>
      <c r="S72" s="137">
        <v>0.37021767</v>
      </c>
      <c r="T72" s="138">
        <v>0.39095777</v>
      </c>
      <c r="U72" s="138">
        <v>0.39005476</v>
      </c>
      <c r="V72" s="136">
        <v>1.76711351156095</v>
      </c>
      <c r="W72" s="136">
        <v>6.34077412081011</v>
      </c>
      <c r="X72" s="137">
        <v>0.51070624</v>
      </c>
      <c r="Y72" s="137">
        <v>0.50448853</v>
      </c>
      <c r="Z72" s="138">
        <v>0.5237314</v>
      </c>
      <c r="AA72" s="138">
        <v>0.5382065</v>
      </c>
      <c r="AB72" s="136">
        <v>1.49408094576269</v>
      </c>
      <c r="AC72" s="136">
        <v>5.29188162221759</v>
      </c>
      <c r="AD72" s="137">
        <v>0.41000759</v>
      </c>
      <c r="AE72" s="137">
        <v>0.40087264</v>
      </c>
      <c r="AF72" s="138">
        <v>0.34815014</v>
      </c>
      <c r="AG72" s="138">
        <v>0.35673431</v>
      </c>
      <c r="AH72" s="136">
        <v>0.533585535776086</v>
      </c>
      <c r="AI72" s="136">
        <v>1.99257049940689</v>
      </c>
      <c r="AJ72" s="137">
        <v>0.35747527</v>
      </c>
      <c r="AK72" s="137">
        <v>0.33045282</v>
      </c>
      <c r="AL72" s="138">
        <v>0.34737076</v>
      </c>
      <c r="AM72" s="138">
        <v>0.34741437</v>
      </c>
      <c r="AN72" s="49">
        <f t="shared" si="20"/>
        <v>2.75455743</v>
      </c>
      <c r="AO72" s="50">
        <f t="shared" si="21"/>
        <v>0.4070335225</v>
      </c>
      <c r="AP72" s="76">
        <f t="shared" si="22"/>
        <v>23.32130296</v>
      </c>
      <c r="AQ72" s="75">
        <f t="shared" si="25"/>
        <v>0.4053275013</v>
      </c>
      <c r="AR72" s="52">
        <f t="shared" si="26"/>
        <v>23.22355514</v>
      </c>
      <c r="AS72" s="139">
        <f t="shared" si="23"/>
        <v>1.987013551</v>
      </c>
      <c r="AT72" s="140">
        <f t="shared" si="24"/>
        <v>-1.122433058</v>
      </c>
      <c r="AU72" s="139">
        <f t="shared" si="27"/>
        <v>-6.964915064</v>
      </c>
      <c r="AV72" s="141" t="s">
        <v>79</v>
      </c>
      <c r="AW72" s="38"/>
      <c r="AX72" s="38"/>
    </row>
    <row r="73" ht="37.5" customHeight="1">
      <c r="A73" s="6"/>
      <c r="B73" s="120"/>
      <c r="C73" s="6"/>
      <c r="D73" s="6"/>
      <c r="E73" s="71" t="s">
        <v>36</v>
      </c>
      <c r="F73" s="141" t="s">
        <v>41</v>
      </c>
      <c r="G73" s="6"/>
      <c r="H73" s="6"/>
      <c r="I73" s="6"/>
      <c r="J73" s="133">
        <v>1.2184</v>
      </c>
      <c r="K73" s="110">
        <v>0.0294</v>
      </c>
      <c r="L73" s="120">
        <v>0.0748</v>
      </c>
      <c r="M73" s="134">
        <v>4.719</v>
      </c>
      <c r="N73" s="135">
        <v>2.116</v>
      </c>
      <c r="O73" s="107">
        <v>12.124</v>
      </c>
      <c r="P73" s="136">
        <v>0.966297936596716</v>
      </c>
      <c r="Q73" s="136">
        <v>3.54585309513257</v>
      </c>
      <c r="R73" s="137">
        <v>0.56983486</v>
      </c>
      <c r="S73" s="137">
        <v>0.5259011</v>
      </c>
      <c r="T73" s="138">
        <v>0.59550437</v>
      </c>
      <c r="U73" s="138">
        <v>0.50794981</v>
      </c>
      <c r="V73" s="136">
        <v>1.5680859875408</v>
      </c>
      <c r="W73" s="136">
        <v>5.51430121260694</v>
      </c>
      <c r="X73" s="137">
        <v>0.56880495</v>
      </c>
      <c r="Y73" s="137">
        <v>0.52467931</v>
      </c>
      <c r="Z73" s="138">
        <v>0.75336781</v>
      </c>
      <c r="AA73" s="138">
        <v>0.66432446</v>
      </c>
      <c r="AB73" s="136">
        <v>1.32300312513455</v>
      </c>
      <c r="AC73" s="136">
        <v>4.38448926055398</v>
      </c>
      <c r="AD73" s="137">
        <v>0.45216225</v>
      </c>
      <c r="AE73" s="137">
        <v>0.42376946</v>
      </c>
      <c r="AF73" s="138">
        <v>0.54667928</v>
      </c>
      <c r="AG73" s="138">
        <v>0.46159876</v>
      </c>
      <c r="AH73" s="136">
        <v>0.583607320474988</v>
      </c>
      <c r="AI73" s="136">
        <v>2.10552534493956</v>
      </c>
      <c r="AJ73" s="137">
        <v>0.64663836</v>
      </c>
      <c r="AK73" s="137">
        <v>0.55694672</v>
      </c>
      <c r="AL73" s="138">
        <v>0.55150234</v>
      </c>
      <c r="AM73" s="138">
        <v>0.30323627</v>
      </c>
      <c r="AN73" s="49">
        <f t="shared" si="20"/>
        <v>2.49889541</v>
      </c>
      <c r="AO73" s="50">
        <f t="shared" si="21"/>
        <v>0.5335921263</v>
      </c>
      <c r="AP73" s="76">
        <f t="shared" si="22"/>
        <v>30.57257682</v>
      </c>
      <c r="AQ73" s="75">
        <f t="shared" si="25"/>
        <v>0.5480203875</v>
      </c>
      <c r="AR73" s="52">
        <f t="shared" si="26"/>
        <v>31.39925529</v>
      </c>
      <c r="AS73" s="139">
        <f>(AN73/$AN$50 - 1) *100</f>
        <v>2.544297597</v>
      </c>
      <c r="AT73" s="142">
        <f>(AO73/$AO$50 - 1) *100</f>
        <v>3.43096924</v>
      </c>
      <c r="AU73" s="139">
        <f>(AQ73/$AQ$50 - 1) *100</f>
        <v>1.805844255</v>
      </c>
      <c r="AV73" s="141" t="s">
        <v>80</v>
      </c>
      <c r="AW73" s="38"/>
      <c r="AX73" s="38"/>
    </row>
    <row r="74" ht="37.5" customHeight="1">
      <c r="A74" s="6"/>
      <c r="B74" s="120"/>
      <c r="C74" s="6"/>
      <c r="D74" s="6"/>
      <c r="E74" s="71" t="s">
        <v>65</v>
      </c>
      <c r="F74" s="6"/>
      <c r="G74" s="6"/>
      <c r="H74" s="6"/>
      <c r="I74" s="6"/>
      <c r="J74" s="133">
        <v>0.3046</v>
      </c>
      <c r="K74" s="110">
        <v>0.0073</v>
      </c>
      <c r="L74" s="120">
        <v>0.0748</v>
      </c>
      <c r="M74" s="134">
        <v>1.18</v>
      </c>
      <c r="N74" s="135">
        <v>0.543</v>
      </c>
      <c r="O74" s="107">
        <v>3.031</v>
      </c>
      <c r="P74" s="136">
        <v>1.07859183856373</v>
      </c>
      <c r="Q74" s="136">
        <v>3.93618306807156</v>
      </c>
      <c r="R74" s="137">
        <v>0.88747396</v>
      </c>
      <c r="S74" s="137">
        <v>0.87514025</v>
      </c>
      <c r="T74" s="138">
        <v>0.78995536</v>
      </c>
      <c r="U74" s="138">
        <v>0.80359935</v>
      </c>
      <c r="V74" s="136">
        <v>1.60043533291445</v>
      </c>
      <c r="W74" s="136">
        <v>5.74170708717806</v>
      </c>
      <c r="X74" s="137">
        <v>0.76423438</v>
      </c>
      <c r="Y74" s="137">
        <v>0.81677964</v>
      </c>
      <c r="Z74" s="138">
        <v>0.80841822</v>
      </c>
      <c r="AA74" s="138">
        <v>0.86505907</v>
      </c>
      <c r="AB74" s="136">
        <v>1.38746416276461</v>
      </c>
      <c r="AC74" s="136">
        <v>4.61209789467754</v>
      </c>
      <c r="AD74" s="137">
        <v>0.63077538</v>
      </c>
      <c r="AE74" s="137">
        <v>0.67115896</v>
      </c>
      <c r="AF74" s="138">
        <v>0.59497653</v>
      </c>
      <c r="AG74" s="138">
        <v>0.62571437</v>
      </c>
      <c r="AH74" s="136">
        <v>0.700016368577624</v>
      </c>
      <c r="AI74" s="136">
        <v>2.5697370192425</v>
      </c>
      <c r="AJ74" s="137">
        <v>1.05950814</v>
      </c>
      <c r="AK74" s="137">
        <v>1.0800204</v>
      </c>
      <c r="AL74" s="138">
        <v>0.59860489</v>
      </c>
      <c r="AM74" s="138">
        <v>0.63081769</v>
      </c>
      <c r="AN74" s="49">
        <f t="shared" si="20"/>
        <v>2.703279096</v>
      </c>
      <c r="AO74" s="50">
        <f t="shared" si="21"/>
        <v>0.8481363888</v>
      </c>
      <c r="AP74" s="76">
        <f t="shared" si="22"/>
        <v>48.59463553</v>
      </c>
      <c r="AQ74" s="75">
        <f t="shared" si="25"/>
        <v>0.714643185</v>
      </c>
      <c r="AR74" s="52">
        <f t="shared" si="26"/>
        <v>40.94603836</v>
      </c>
      <c r="AS74" s="139">
        <f>(AN74/$AN$49 - 1) *100</f>
        <v>0.8161789874</v>
      </c>
      <c r="AT74" s="140">
        <f>(AO74/$AO$49 - 1) *100</f>
        <v>-1.035655748</v>
      </c>
      <c r="AU74" s="139">
        <f>(AQ74/$AQ$49 - 1) *100</f>
        <v>-6.714959535</v>
      </c>
      <c r="AV74" s="6"/>
      <c r="AW74" s="38"/>
      <c r="AX74" s="38"/>
    </row>
    <row r="75" ht="37.5" customHeight="1">
      <c r="A75" s="15"/>
      <c r="B75" s="120"/>
      <c r="C75" s="15"/>
      <c r="D75" s="15"/>
      <c r="E75" s="77" t="s">
        <v>64</v>
      </c>
      <c r="F75" s="15"/>
      <c r="G75" s="15"/>
      <c r="H75" s="6"/>
      <c r="I75" s="6"/>
      <c r="J75" s="133">
        <v>0.0762</v>
      </c>
      <c r="K75" s="110">
        <v>0.0018</v>
      </c>
      <c r="L75" s="120">
        <v>0.0748</v>
      </c>
      <c r="M75" s="134">
        <v>0.295</v>
      </c>
      <c r="N75" s="135">
        <v>0.15</v>
      </c>
      <c r="O75" s="120">
        <v>0.758</v>
      </c>
      <c r="P75" s="136">
        <v>1.11029667699844</v>
      </c>
      <c r="Q75" s="136">
        <v>4.05803911571525</v>
      </c>
      <c r="R75" s="137">
        <v>1.16413308</v>
      </c>
      <c r="S75" s="137">
        <v>1.18847458</v>
      </c>
      <c r="T75" s="138">
        <v>1.10574065</v>
      </c>
      <c r="U75" s="138">
        <v>1.13003701</v>
      </c>
      <c r="V75" s="136">
        <v>1.64269593623319</v>
      </c>
      <c r="W75" s="136">
        <v>5.87112085153818</v>
      </c>
      <c r="X75" s="137">
        <v>1.10876584</v>
      </c>
      <c r="Y75" s="137">
        <v>1.18439806</v>
      </c>
      <c r="Z75" s="138">
        <v>1.0089658</v>
      </c>
      <c r="AA75" s="138">
        <v>1.00942761</v>
      </c>
      <c r="AB75" s="136">
        <v>1.44996108026646</v>
      </c>
      <c r="AC75" s="136">
        <v>4.82254972259316</v>
      </c>
      <c r="AD75" s="137">
        <v>0.97218411</v>
      </c>
      <c r="AE75" s="137">
        <v>1.02139944</v>
      </c>
      <c r="AF75" s="138">
        <v>0.81572137</v>
      </c>
      <c r="AG75" s="138">
        <v>0.81375286</v>
      </c>
      <c r="AH75" s="136">
        <v>0.721691575058063</v>
      </c>
      <c r="AI75" s="136">
        <v>2.6024212403108</v>
      </c>
      <c r="AJ75" s="137">
        <v>1.27948634</v>
      </c>
      <c r="AK75" s="137">
        <v>1.30603977</v>
      </c>
      <c r="AL75" s="138">
        <v>1.02861845</v>
      </c>
      <c r="AM75" s="138">
        <v>1.14371184</v>
      </c>
      <c r="AN75" s="49">
        <f t="shared" si="20"/>
        <v>2.784847025</v>
      </c>
      <c r="AO75" s="50">
        <f t="shared" si="21"/>
        <v>1.153110153</v>
      </c>
      <c r="AP75" s="76">
        <f t="shared" si="22"/>
        <v>66.06834505</v>
      </c>
      <c r="AQ75" s="75">
        <f t="shared" si="25"/>
        <v>1.006996949</v>
      </c>
      <c r="AR75" s="52">
        <f t="shared" si="26"/>
        <v>57.69667515</v>
      </c>
      <c r="AS75" s="139">
        <f>(AN75/$AN$48 - 1) *100</f>
        <v>-0.08006860445</v>
      </c>
      <c r="AT75" s="142">
        <f>(AO75/$AO$48 - 1) *100</f>
        <v>1.856896064</v>
      </c>
      <c r="AU75" s="139">
        <f>(AQ75/$AQ$48 - 1) *100</f>
        <v>-1.501852006</v>
      </c>
      <c r="AV75" s="6"/>
      <c r="AW75" s="38"/>
      <c r="AX75" s="38"/>
    </row>
    <row r="76">
      <c r="A76" s="143" t="s">
        <v>45</v>
      </c>
      <c r="B76" s="144"/>
      <c r="C76" s="145" t="s">
        <v>36</v>
      </c>
      <c r="D76" s="121" t="s">
        <v>78</v>
      </c>
      <c r="E76" s="146" t="s">
        <v>38</v>
      </c>
      <c r="F76" s="147" t="s">
        <v>37</v>
      </c>
      <c r="G76" s="148">
        <v>16.0</v>
      </c>
      <c r="H76" s="6"/>
      <c r="I76" s="6"/>
      <c r="J76" s="149">
        <v>1.2289</v>
      </c>
      <c r="K76" s="150">
        <v>0.0587</v>
      </c>
      <c r="L76" s="146">
        <v>0.019</v>
      </c>
      <c r="M76" s="151">
        <v>9.437</v>
      </c>
      <c r="N76" s="152">
        <v>4.199</v>
      </c>
      <c r="O76" s="146">
        <v>24.379</v>
      </c>
      <c r="P76" s="153">
        <v>0.997602308532368</v>
      </c>
      <c r="Q76" s="153">
        <v>3.80437735488874</v>
      </c>
      <c r="R76" s="154">
        <v>0.43692868</v>
      </c>
      <c r="S76" s="154">
        <v>0.43290448</v>
      </c>
      <c r="T76" s="155">
        <v>0.36670324</v>
      </c>
      <c r="U76" s="155">
        <v>0.363943</v>
      </c>
      <c r="V76" s="153">
        <v>1.78801890175525</v>
      </c>
      <c r="W76" s="153">
        <v>6.39411520326124</v>
      </c>
      <c r="X76" s="154">
        <v>0.59942774</v>
      </c>
      <c r="Y76" s="154">
        <v>0.5836853</v>
      </c>
      <c r="Z76" s="155">
        <v>0.56761252</v>
      </c>
      <c r="AA76" s="155">
        <v>0.54098552</v>
      </c>
      <c r="AB76" s="153">
        <v>1.52683746294576</v>
      </c>
      <c r="AC76" s="153">
        <v>5.3909338094651</v>
      </c>
      <c r="AD76" s="154">
        <v>0.51914218</v>
      </c>
      <c r="AE76" s="154">
        <v>0.4916276</v>
      </c>
      <c r="AF76" s="155">
        <v>0.42600366</v>
      </c>
      <c r="AG76" s="155">
        <v>0.40556724</v>
      </c>
      <c r="AH76" s="153">
        <v>0.700402184537244</v>
      </c>
      <c r="AI76" s="153">
        <v>2.70340500579849</v>
      </c>
      <c r="AJ76" s="154">
        <v>0.40044764</v>
      </c>
      <c r="AK76" s="154">
        <v>0.40187434</v>
      </c>
      <c r="AL76" s="155">
        <v>0.44552876</v>
      </c>
      <c r="AM76" s="155">
        <v>0.43051704</v>
      </c>
      <c r="AN76" s="156">
        <f t="shared" si="20"/>
        <v>2.913211529</v>
      </c>
      <c r="AO76" s="157">
        <f t="shared" si="21"/>
        <v>0.483254745</v>
      </c>
      <c r="AP76" s="158">
        <f t="shared" si="22"/>
        <v>27.68845732</v>
      </c>
      <c r="AQ76" s="75">
        <f t="shared" si="25"/>
        <v>0.4433576225</v>
      </c>
      <c r="AR76" s="52">
        <f t="shared" si="26"/>
        <v>25.40252058</v>
      </c>
      <c r="AS76" s="139">
        <f>(AN76/$AN$15 - 1) *100</f>
        <v>0.2602215505</v>
      </c>
      <c r="AT76" s="140">
        <f>(AO76/$AO$15 - 1) *100</f>
        <v>-5.879983895</v>
      </c>
      <c r="AU76" s="139">
        <f>(AQ76/$AQ$15 - 1) *100</f>
        <v>-0.1908952789</v>
      </c>
      <c r="AV76" s="141" t="s">
        <v>81</v>
      </c>
      <c r="AW76" s="38"/>
      <c r="AX76" s="38"/>
    </row>
    <row r="77">
      <c r="A77" s="6"/>
      <c r="B77" s="6"/>
      <c r="C77" s="6"/>
      <c r="D77" s="6"/>
      <c r="E77" s="71" t="s">
        <v>36</v>
      </c>
      <c r="F77" s="141" t="s">
        <v>41</v>
      </c>
      <c r="G77" s="6"/>
      <c r="H77" s="6"/>
      <c r="I77" s="6"/>
      <c r="J77" s="111">
        <v>0.3072</v>
      </c>
      <c r="K77" s="110">
        <v>0.0147</v>
      </c>
      <c r="L77" s="107">
        <v>0.019</v>
      </c>
      <c r="M77" s="112">
        <v>2.359</v>
      </c>
      <c r="N77" s="113">
        <v>1.053</v>
      </c>
      <c r="O77" s="107">
        <v>6.095</v>
      </c>
      <c r="P77" s="114">
        <v>1.00044738342443</v>
      </c>
      <c r="Q77" s="114">
        <v>3.72213773020108</v>
      </c>
      <c r="R77" s="115">
        <v>0.62139476</v>
      </c>
      <c r="S77" s="115">
        <v>0.61281222</v>
      </c>
      <c r="T77" s="116">
        <v>0.47540307</v>
      </c>
      <c r="U77" s="116">
        <v>0.45321964</v>
      </c>
      <c r="V77" s="114">
        <v>1.63900433929204</v>
      </c>
      <c r="W77" s="114">
        <v>5.82871823435359</v>
      </c>
      <c r="X77" s="115">
        <v>0.69776349</v>
      </c>
      <c r="Y77" s="115">
        <v>0.68289823</v>
      </c>
      <c r="Z77" s="116">
        <v>0.69394259</v>
      </c>
      <c r="AA77" s="116">
        <v>0.65120365</v>
      </c>
      <c r="AB77" s="114">
        <v>1.37366792560456</v>
      </c>
      <c r="AC77" s="114">
        <v>4.61964146960847</v>
      </c>
      <c r="AD77" s="115">
        <v>0.60233002</v>
      </c>
      <c r="AE77" s="115">
        <v>0.57546993</v>
      </c>
      <c r="AF77" s="116">
        <v>0.4866362</v>
      </c>
      <c r="AG77" s="116">
        <v>0.46400694</v>
      </c>
      <c r="AH77" s="114">
        <v>0.74531326992442</v>
      </c>
      <c r="AI77" s="114">
        <v>2.88689334008035</v>
      </c>
      <c r="AJ77" s="115">
        <v>0.63832415</v>
      </c>
      <c r="AK77" s="115">
        <v>0.65655393</v>
      </c>
      <c r="AL77" s="116">
        <v>0.56233641</v>
      </c>
      <c r="AM77" s="116">
        <v>0.57729454</v>
      </c>
      <c r="AN77" s="49">
        <f t="shared" si="20"/>
        <v>2.726977962</v>
      </c>
      <c r="AO77" s="50">
        <f t="shared" si="21"/>
        <v>0.6359433413</v>
      </c>
      <c r="AP77" s="76">
        <f t="shared" si="22"/>
        <v>36.43686946</v>
      </c>
      <c r="AQ77" s="75">
        <f t="shared" si="25"/>
        <v>0.54550538</v>
      </c>
      <c r="AR77" s="52">
        <f t="shared" si="26"/>
        <v>31.25515598</v>
      </c>
      <c r="AS77" s="139">
        <f>(AN77/$AN$47 - 1) *100</f>
        <v>-0.3868171255</v>
      </c>
      <c r="AT77" s="140">
        <f>(AO77/$AO$47 - 1) *100</f>
        <v>-6.262817915</v>
      </c>
      <c r="AU77" s="139">
        <f>(AQ77/$AQ$47 - 1) *100</f>
        <v>-7.917649025</v>
      </c>
      <c r="AV77" s="6"/>
      <c r="AW77" s="38"/>
      <c r="AX77" s="38"/>
    </row>
    <row r="78">
      <c r="A78" s="6"/>
      <c r="B78" s="6"/>
      <c r="C78" s="6"/>
      <c r="D78" s="6"/>
      <c r="E78" s="71" t="s">
        <v>65</v>
      </c>
      <c r="F78" s="6"/>
      <c r="G78" s="6"/>
      <c r="H78" s="6"/>
      <c r="I78" s="6"/>
      <c r="J78" s="111">
        <v>0.0768</v>
      </c>
      <c r="K78" s="110">
        <v>0.0037</v>
      </c>
      <c r="L78" s="107">
        <v>0.019</v>
      </c>
      <c r="M78" s="112">
        <v>0.59</v>
      </c>
      <c r="N78" s="113">
        <v>0.267</v>
      </c>
      <c r="O78" s="107">
        <v>1.524</v>
      </c>
      <c r="P78" s="114">
        <v>1.16426304933412</v>
      </c>
      <c r="Q78" s="114">
        <v>4.28679789211631</v>
      </c>
      <c r="R78" s="115">
        <v>1.04901324</v>
      </c>
      <c r="S78" s="115">
        <v>1.05248804</v>
      </c>
      <c r="T78" s="116">
        <v>0.93153936</v>
      </c>
      <c r="U78" s="116">
        <v>0.8663245</v>
      </c>
      <c r="V78" s="114">
        <v>1.72771276465546</v>
      </c>
      <c r="W78" s="114">
        <v>6.18565033392531</v>
      </c>
      <c r="X78" s="115">
        <v>0.9550448</v>
      </c>
      <c r="Y78" s="115">
        <v>0.94514433</v>
      </c>
      <c r="Z78" s="116">
        <v>0.9169515</v>
      </c>
      <c r="AA78" s="116">
        <v>0.87780148</v>
      </c>
      <c r="AB78" s="114">
        <v>1.48411925531724</v>
      </c>
      <c r="AC78" s="114">
        <v>4.9618898359033</v>
      </c>
      <c r="AD78" s="115">
        <v>0.86991737</v>
      </c>
      <c r="AE78" s="115">
        <v>0.86084788</v>
      </c>
      <c r="AF78" s="116">
        <v>0.74808447</v>
      </c>
      <c r="AG78" s="116">
        <v>0.72535285</v>
      </c>
      <c r="AH78" s="114">
        <v>0.862207549050963</v>
      </c>
      <c r="AI78" s="114">
        <v>3.29519453887921</v>
      </c>
      <c r="AJ78" s="115">
        <v>1.01598125</v>
      </c>
      <c r="AK78" s="115">
        <v>1.06751347</v>
      </c>
      <c r="AL78" s="116">
        <v>1.16559356</v>
      </c>
      <c r="AM78" s="116">
        <v>1.26401774</v>
      </c>
      <c r="AN78" s="49">
        <f t="shared" si="20"/>
        <v>2.995979402</v>
      </c>
      <c r="AO78" s="50">
        <f t="shared" si="21"/>
        <v>0.9769937975</v>
      </c>
      <c r="AP78" s="76">
        <f t="shared" si="22"/>
        <v>55.97762121</v>
      </c>
      <c r="AQ78" s="75">
        <f t="shared" si="25"/>
        <v>0.9369581825</v>
      </c>
      <c r="AR78" s="52">
        <f t="shared" si="26"/>
        <v>53.68374944</v>
      </c>
      <c r="AS78" s="139">
        <f>(AN78/$AN$46 - 1) *100</f>
        <v>0.8127290376</v>
      </c>
      <c r="AT78" s="140">
        <f>(AO78/$AO$46 - 1) *100</f>
        <v>-2.304445083</v>
      </c>
      <c r="AU78" s="139">
        <f>(AQ78/$AQ$46 - 1) *100</f>
        <v>-2.359462667</v>
      </c>
      <c r="AV78" s="6"/>
      <c r="AW78" s="38"/>
      <c r="AX78" s="38"/>
    </row>
    <row r="79">
      <c r="A79" s="15"/>
      <c r="B79" s="15"/>
      <c r="C79" s="15"/>
      <c r="D79" s="6"/>
      <c r="E79" s="71" t="s">
        <v>64</v>
      </c>
      <c r="F79" s="15"/>
      <c r="G79" s="15"/>
      <c r="H79" s="6"/>
      <c r="I79" s="6"/>
      <c r="J79" s="111">
        <v>0.0192</v>
      </c>
      <c r="K79" s="110">
        <v>9.0E-4</v>
      </c>
      <c r="L79" s="107">
        <v>0.019</v>
      </c>
      <c r="M79" s="112">
        <v>0.147</v>
      </c>
      <c r="N79" s="113">
        <v>0.07</v>
      </c>
      <c r="O79" s="107">
        <v>0.381</v>
      </c>
      <c r="P79" s="114">
        <v>1.2119622592459</v>
      </c>
      <c r="Q79" s="114">
        <v>4.46681871132786</v>
      </c>
      <c r="R79" s="115">
        <v>1.28460892</v>
      </c>
      <c r="S79" s="115">
        <v>1.28857094</v>
      </c>
      <c r="T79" s="116">
        <v>1.04676518</v>
      </c>
      <c r="U79" s="116">
        <v>1.0479844</v>
      </c>
      <c r="V79" s="114">
        <v>1.73466243445341</v>
      </c>
      <c r="W79" s="114">
        <v>6.21833333834546</v>
      </c>
      <c r="X79" s="115">
        <v>1.16634998</v>
      </c>
      <c r="Y79" s="115">
        <v>1.18762785</v>
      </c>
      <c r="Z79" s="116">
        <v>0.96684996</v>
      </c>
      <c r="AA79" s="116">
        <v>1.00049212</v>
      </c>
      <c r="AB79" s="114">
        <v>1.52929438151857</v>
      </c>
      <c r="AC79" s="114">
        <v>5.1564669796735</v>
      </c>
      <c r="AD79" s="115">
        <v>1.10254603</v>
      </c>
      <c r="AE79" s="115">
        <v>1.12682326</v>
      </c>
      <c r="AF79" s="116">
        <v>0.75715314</v>
      </c>
      <c r="AG79" s="116">
        <v>0.80673434</v>
      </c>
      <c r="AH79" s="114">
        <v>0.81086206715157</v>
      </c>
      <c r="AI79" s="114">
        <v>2.96394382363005</v>
      </c>
      <c r="AJ79" s="115">
        <v>1.1199484</v>
      </c>
      <c r="AK79" s="115">
        <v>1.18254794</v>
      </c>
      <c r="AL79" s="116">
        <v>1.36752509</v>
      </c>
      <c r="AM79" s="116">
        <v>1.45302918</v>
      </c>
      <c r="AN79" s="49">
        <f t="shared" si="20"/>
        <v>3.011542999</v>
      </c>
      <c r="AO79" s="50">
        <f t="shared" si="21"/>
        <v>1.182377915</v>
      </c>
      <c r="AP79" s="76">
        <f t="shared" si="22"/>
        <v>67.74526432</v>
      </c>
      <c r="AQ79" s="75">
        <f t="shared" si="25"/>
        <v>1.055816676</v>
      </c>
      <c r="AR79" s="52">
        <f t="shared" si="26"/>
        <v>60.49383949</v>
      </c>
      <c r="AS79" s="139">
        <f>(AN79/$AN$45 - 1) *100</f>
        <v>-0.9128233245</v>
      </c>
      <c r="AT79" s="140">
        <f>(AO79/$AO$45 - 1) *100</f>
        <v>-4.623963686</v>
      </c>
      <c r="AU79" s="139">
        <f>(AQ79/$AQ$45 - 1) *100</f>
        <v>-19.88208904</v>
      </c>
      <c r="AV79" s="15"/>
      <c r="AW79" s="38"/>
      <c r="AX79" s="38"/>
    </row>
    <row r="80">
      <c r="A80" s="119" t="s">
        <v>46</v>
      </c>
      <c r="B80" s="159"/>
      <c r="C80" s="159" t="s">
        <v>36</v>
      </c>
      <c r="D80" s="6"/>
      <c r="E80" s="107" t="s">
        <v>38</v>
      </c>
      <c r="F80" s="109" t="s">
        <v>37</v>
      </c>
      <c r="G80" s="77">
        <v>8.0</v>
      </c>
      <c r="H80" s="6"/>
      <c r="I80" s="6"/>
      <c r="J80" s="111">
        <v>0.3125</v>
      </c>
      <c r="K80" s="110">
        <v>0.0294</v>
      </c>
      <c r="L80" s="107">
        <v>0.0049</v>
      </c>
      <c r="M80" s="112">
        <v>4.719</v>
      </c>
      <c r="N80" s="113">
        <v>2.098</v>
      </c>
      <c r="O80" s="107">
        <v>12.321</v>
      </c>
      <c r="P80" s="114">
        <v>1.15048796780289</v>
      </c>
      <c r="Q80" s="114">
        <v>4.3871337296296</v>
      </c>
      <c r="R80" s="115">
        <v>0.76906485</v>
      </c>
      <c r="S80" s="115">
        <v>0.75727836</v>
      </c>
      <c r="T80" s="116">
        <v>0.66078711</v>
      </c>
      <c r="U80" s="116">
        <v>0.64266604</v>
      </c>
      <c r="V80" s="114">
        <v>1.9883981450392</v>
      </c>
      <c r="W80" s="114">
        <v>7.19744005805043</v>
      </c>
      <c r="X80" s="115">
        <v>0.90246617</v>
      </c>
      <c r="Y80" s="115">
        <v>0.88452505</v>
      </c>
      <c r="Z80" s="116">
        <v>0.80049874</v>
      </c>
      <c r="AA80" s="116">
        <v>0.74441031</v>
      </c>
      <c r="AB80" s="114">
        <v>1.71494723467179</v>
      </c>
      <c r="AC80" s="114">
        <v>6.14706563720115</v>
      </c>
      <c r="AD80" s="115">
        <v>0.79054462</v>
      </c>
      <c r="AE80" s="115">
        <v>0.76315757</v>
      </c>
      <c r="AF80" s="116">
        <v>0.5780411</v>
      </c>
      <c r="AG80" s="116">
        <v>0.54652315</v>
      </c>
      <c r="AH80" s="114">
        <v>0.717054625470931</v>
      </c>
      <c r="AI80" s="114">
        <v>2.73958384770971</v>
      </c>
      <c r="AJ80" s="115">
        <v>0.67573692</v>
      </c>
      <c r="AK80" s="115">
        <v>0.7072647</v>
      </c>
      <c r="AL80" s="116">
        <v>0.57557773</v>
      </c>
      <c r="AM80" s="116">
        <v>0.61859284</v>
      </c>
      <c r="AN80" s="49">
        <f t="shared" si="20"/>
        <v>3.255263906</v>
      </c>
      <c r="AO80" s="50">
        <f t="shared" si="21"/>
        <v>0.78125478</v>
      </c>
      <c r="AP80" s="76">
        <f t="shared" si="22"/>
        <v>44.76260162</v>
      </c>
      <c r="AQ80" s="75">
        <f t="shared" si="25"/>
        <v>0.6458871275</v>
      </c>
      <c r="AR80" s="52">
        <f t="shared" si="26"/>
        <v>37.00660645</v>
      </c>
      <c r="AS80" s="139">
        <f>(AN80/$AN$16 - 1) *100</f>
        <v>1.52309044</v>
      </c>
      <c r="AT80" s="142">
        <f>(AO80/$AO$16 - 1) *100</f>
        <v>7.874379873</v>
      </c>
      <c r="AU80" s="139">
        <f>(AQ80/$AQ$16 - 1) *100</f>
        <v>2.224929819</v>
      </c>
      <c r="AV80" s="141" t="s">
        <v>82</v>
      </c>
      <c r="AW80" s="38"/>
      <c r="AX80" s="38"/>
    </row>
    <row r="81">
      <c r="A81" s="6"/>
      <c r="B81" s="6"/>
      <c r="C81" s="6"/>
      <c r="D81" s="6"/>
      <c r="E81" s="71" t="s">
        <v>36</v>
      </c>
      <c r="F81" s="141" t="s">
        <v>41</v>
      </c>
      <c r="G81" s="6"/>
      <c r="H81" s="6"/>
      <c r="I81" s="6"/>
      <c r="J81" s="111">
        <v>0.0781</v>
      </c>
      <c r="K81" s="110">
        <v>0.0073</v>
      </c>
      <c r="L81" s="107">
        <v>0.0049</v>
      </c>
      <c r="M81" s="112">
        <v>1.18</v>
      </c>
      <c r="N81" s="113">
        <v>0.525</v>
      </c>
      <c r="O81" s="107">
        <v>3.08</v>
      </c>
      <c r="P81" s="114">
        <v>1.1191422246566</v>
      </c>
      <c r="Q81" s="114">
        <v>4.15288817426994</v>
      </c>
      <c r="R81" s="115">
        <v>0.9287594</v>
      </c>
      <c r="S81" s="115">
        <v>0.92418065</v>
      </c>
      <c r="T81" s="116">
        <v>0.95920774</v>
      </c>
      <c r="U81" s="116">
        <v>0.93344031</v>
      </c>
      <c r="V81" s="114">
        <v>1.8128512371914</v>
      </c>
      <c r="W81" s="114">
        <v>6.51844714425299</v>
      </c>
      <c r="X81" s="115">
        <v>1.0716608</v>
      </c>
      <c r="Y81" s="115">
        <v>1.060597</v>
      </c>
      <c r="Z81" s="116">
        <v>1.02649889</v>
      </c>
      <c r="AA81" s="116">
        <v>0.96358033</v>
      </c>
      <c r="AB81" s="114">
        <v>1.54303355730767</v>
      </c>
      <c r="AC81" s="114">
        <v>5.24894999888964</v>
      </c>
      <c r="AD81" s="115">
        <v>0.96768415</v>
      </c>
      <c r="AE81" s="115">
        <v>0.94541842</v>
      </c>
      <c r="AF81" s="116">
        <v>0.83014684</v>
      </c>
      <c r="AG81" s="116">
        <v>0.77336699</v>
      </c>
      <c r="AH81" s="114">
        <v>0.756970900945641</v>
      </c>
      <c r="AI81" s="114">
        <v>2.91956097349912</v>
      </c>
      <c r="AJ81" s="115">
        <v>1.06214429</v>
      </c>
      <c r="AK81" s="115">
        <v>1.12778786</v>
      </c>
      <c r="AL81" s="116">
        <v>1.14422582</v>
      </c>
      <c r="AM81" s="116">
        <v>1.16936241</v>
      </c>
      <c r="AN81" s="49">
        <f t="shared" si="20"/>
        <v>3.008980526</v>
      </c>
      <c r="AO81" s="50">
        <f t="shared" si="21"/>
        <v>1.011029071</v>
      </c>
      <c r="AP81" s="76">
        <f t="shared" si="22"/>
        <v>57.92769875</v>
      </c>
      <c r="AQ81" s="75">
        <f t="shared" si="25"/>
        <v>0.9749786663</v>
      </c>
      <c r="AR81" s="52">
        <f t="shared" si="26"/>
        <v>55.86216269</v>
      </c>
      <c r="AS81" s="139">
        <f>(AN81/$AN$44 - 1) *100</f>
        <v>0.3587056542</v>
      </c>
      <c r="AT81" s="142">
        <f>(AO81/$AO$44 - 1) *100</f>
        <v>2.134734493</v>
      </c>
      <c r="AU81" s="139">
        <f>(AQ81/$AQ$44 - 1) *100</f>
        <v>-0.6515584041</v>
      </c>
      <c r="AV81" s="6"/>
      <c r="AW81" s="38"/>
      <c r="AX81" s="38"/>
    </row>
    <row r="82">
      <c r="A82" s="6"/>
      <c r="B82" s="6"/>
      <c r="C82" s="6"/>
      <c r="D82" s="6"/>
      <c r="E82" s="71" t="s">
        <v>65</v>
      </c>
      <c r="F82" s="6"/>
      <c r="G82" s="6"/>
      <c r="H82" s="6"/>
      <c r="I82" s="6"/>
      <c r="J82" s="111">
        <v>0.0195</v>
      </c>
      <c r="K82" s="110">
        <v>0.0018</v>
      </c>
      <c r="L82" s="107">
        <v>0.0049</v>
      </c>
      <c r="M82" s="112">
        <v>0.295</v>
      </c>
      <c r="N82" s="113">
        <v>0.132</v>
      </c>
      <c r="O82" s="107">
        <v>0.77</v>
      </c>
      <c r="P82" s="114">
        <v>1.1419314446439</v>
      </c>
      <c r="Q82" s="114">
        <v>4.20308494921378</v>
      </c>
      <c r="R82" s="115">
        <v>1.08629886</v>
      </c>
      <c r="S82" s="115">
        <v>1.10394449</v>
      </c>
      <c r="T82" s="116">
        <v>1.02839658</v>
      </c>
      <c r="U82" s="116">
        <v>1.04024491</v>
      </c>
      <c r="V82" s="114">
        <v>1.7733063273104</v>
      </c>
      <c r="W82" s="114">
        <v>6.35672906581331</v>
      </c>
      <c r="X82" s="115">
        <v>1.23960891</v>
      </c>
      <c r="Y82" s="115">
        <v>1.2411278</v>
      </c>
      <c r="Z82" s="116">
        <v>1.1292921</v>
      </c>
      <c r="AA82" s="116">
        <v>1.11758017</v>
      </c>
      <c r="AB82" s="114">
        <v>1.55664386877048</v>
      </c>
      <c r="AC82" s="114">
        <v>5.18604451605708</v>
      </c>
      <c r="AD82" s="115">
        <v>1.1831168</v>
      </c>
      <c r="AE82" s="115">
        <v>1.18281082</v>
      </c>
      <c r="AF82" s="116">
        <v>1.03681965</v>
      </c>
      <c r="AG82" s="116">
        <v>1.02711223</v>
      </c>
      <c r="AH82" s="114">
        <v>0.801271707946467</v>
      </c>
      <c r="AI82" s="114">
        <v>3.02550590537666</v>
      </c>
      <c r="AJ82" s="115">
        <v>1.30292338</v>
      </c>
      <c r="AK82" s="115">
        <v>1.39065749</v>
      </c>
      <c r="AL82" s="116">
        <v>1.66848271</v>
      </c>
      <c r="AM82" s="116">
        <v>1.66659719</v>
      </c>
      <c r="AN82" s="49">
        <f t="shared" si="20"/>
        <v>3.005564723</v>
      </c>
      <c r="AO82" s="50">
        <f t="shared" si="21"/>
        <v>1.216311069</v>
      </c>
      <c r="AP82" s="76">
        <f t="shared" si="22"/>
        <v>69.68949081</v>
      </c>
      <c r="AQ82" s="75">
        <f t="shared" si="25"/>
        <v>1.214315693</v>
      </c>
      <c r="AR82" s="52">
        <f t="shared" si="26"/>
        <v>69.57516418</v>
      </c>
      <c r="AS82" s="139">
        <f>(AN82/$AN$43 - 1) *100</f>
        <v>-0.8844564519</v>
      </c>
      <c r="AT82" s="140">
        <f>(AO82/$AO$43 - 1) *100</f>
        <v>-0.04834408274</v>
      </c>
      <c r="AU82" s="139">
        <f>(AQ82/$AQ$43 - 1) *100</f>
        <v>-2.300633459</v>
      </c>
      <c r="AV82" s="6"/>
      <c r="AW82" s="38"/>
      <c r="AX82" s="38"/>
    </row>
    <row r="83">
      <c r="A83" s="15"/>
      <c r="B83" s="15"/>
      <c r="C83" s="15"/>
      <c r="D83" s="6"/>
      <c r="E83" s="71" t="s">
        <v>64</v>
      </c>
      <c r="F83" s="15"/>
      <c r="G83" s="15"/>
      <c r="H83" s="6"/>
      <c r="I83" s="6"/>
      <c r="J83" s="111">
        <v>0.0049</v>
      </c>
      <c r="K83" s="110">
        <v>5.0E-4</v>
      </c>
      <c r="L83" s="107">
        <v>0.0049</v>
      </c>
      <c r="M83" s="112">
        <v>0.074</v>
      </c>
      <c r="N83" s="113">
        <v>0.034</v>
      </c>
      <c r="O83" s="107">
        <v>0.193</v>
      </c>
      <c r="P83" s="114">
        <v>1.16099290430542</v>
      </c>
      <c r="Q83" s="114">
        <v>4.2830545931912</v>
      </c>
      <c r="R83" s="115">
        <v>1.29106096</v>
      </c>
      <c r="S83" s="115">
        <v>1.3231649</v>
      </c>
      <c r="T83" s="116">
        <v>1.24324337</v>
      </c>
      <c r="U83" s="116">
        <v>1.23295223</v>
      </c>
      <c r="V83" s="114">
        <v>1.73137985277464</v>
      </c>
      <c r="W83" s="114">
        <v>6.2101506478123</v>
      </c>
      <c r="X83" s="115">
        <v>1.39015488</v>
      </c>
      <c r="Y83" s="115">
        <v>1.41413132</v>
      </c>
      <c r="Z83" s="116">
        <v>1.49219673</v>
      </c>
      <c r="AA83" s="116">
        <v>1.47853161</v>
      </c>
      <c r="AB83" s="114">
        <v>1.5593484687786</v>
      </c>
      <c r="AC83" s="114">
        <v>5.2471701578989</v>
      </c>
      <c r="AD83" s="115">
        <v>1.37040088</v>
      </c>
      <c r="AE83" s="115">
        <v>1.3885793</v>
      </c>
      <c r="AF83" s="116">
        <v>1.40432412</v>
      </c>
      <c r="AG83" s="116">
        <v>1.39891127</v>
      </c>
      <c r="AH83" s="114">
        <v>0.816025619166649</v>
      </c>
      <c r="AI83" s="114">
        <v>2.9975771004542</v>
      </c>
      <c r="AJ83" s="115">
        <v>1.39999619</v>
      </c>
      <c r="AK83" s="115">
        <v>1.48384474</v>
      </c>
      <c r="AL83" s="116">
        <v>1.71616492</v>
      </c>
      <c r="AM83" s="116">
        <v>1.64299884</v>
      </c>
      <c r="AN83" s="49">
        <f t="shared" si="20"/>
        <v>3.000712418</v>
      </c>
      <c r="AO83" s="50">
        <f t="shared" si="21"/>
        <v>1.382666646</v>
      </c>
      <c r="AP83" s="76">
        <f t="shared" si="22"/>
        <v>79.2209633</v>
      </c>
      <c r="AQ83" s="75">
        <f t="shared" si="25"/>
        <v>1.451165386</v>
      </c>
      <c r="AR83" s="52">
        <f t="shared" si="26"/>
        <v>83.14565201</v>
      </c>
      <c r="AS83" s="139">
        <f>(AN83/$AN$42 - 1) *100</f>
        <v>-1.83492857</v>
      </c>
      <c r="AT83" s="140">
        <f>(AO83/$AO$42 - 1) *100</f>
        <v>-1.652061221</v>
      </c>
      <c r="AU83" s="139">
        <f>(AQ83/$AQ$42 - 1) *100</f>
        <v>-4.00458443</v>
      </c>
      <c r="AV83" s="15"/>
      <c r="AW83" s="38"/>
      <c r="AX83" s="38"/>
    </row>
    <row r="84">
      <c r="A84" s="119" t="s">
        <v>47</v>
      </c>
      <c r="B84" s="159"/>
      <c r="C84" s="159" t="s">
        <v>36</v>
      </c>
      <c r="D84" s="6"/>
      <c r="E84" s="107" t="s">
        <v>38</v>
      </c>
      <c r="F84" s="109" t="s">
        <v>37</v>
      </c>
      <c r="G84" s="77">
        <v>4.0</v>
      </c>
      <c r="H84" s="6"/>
      <c r="I84" s="6"/>
      <c r="J84" s="111">
        <v>0.0807</v>
      </c>
      <c r="K84" s="110">
        <v>0.0147</v>
      </c>
      <c r="L84" s="107">
        <v>0.0013</v>
      </c>
      <c r="M84" s="112">
        <v>2.359</v>
      </c>
      <c r="N84" s="113">
        <v>1.049</v>
      </c>
      <c r="O84" s="107">
        <v>6.291</v>
      </c>
      <c r="P84" s="114">
        <v>1.2650489113386</v>
      </c>
      <c r="Q84" s="114">
        <v>4.88182511899399</v>
      </c>
      <c r="R84" s="115">
        <v>1.13659908</v>
      </c>
      <c r="S84" s="115">
        <v>1.17189326</v>
      </c>
      <c r="T84" s="116">
        <v>0.9011721</v>
      </c>
      <c r="U84" s="116">
        <v>0.88796195</v>
      </c>
      <c r="V84" s="114">
        <v>2.10434595009818</v>
      </c>
      <c r="W84" s="114">
        <v>7.73516557990848</v>
      </c>
      <c r="X84" s="115">
        <v>1.23035852</v>
      </c>
      <c r="Y84" s="115">
        <v>1.24762142</v>
      </c>
      <c r="Z84" s="116">
        <v>0.98674552</v>
      </c>
      <c r="AA84" s="116">
        <v>0.99156121</v>
      </c>
      <c r="AB84" s="114">
        <v>1.84940710234103</v>
      </c>
      <c r="AC84" s="114">
        <v>6.74420383446829</v>
      </c>
      <c r="AD84" s="115">
        <v>1.18801013</v>
      </c>
      <c r="AE84" s="115">
        <v>1.21008683</v>
      </c>
      <c r="AF84" s="116">
        <v>0.93678187</v>
      </c>
      <c r="AG84" s="116">
        <v>0.95850759</v>
      </c>
      <c r="AH84" s="114">
        <v>0.706757955219631</v>
      </c>
      <c r="AI84" s="114">
        <v>2.70419187798899</v>
      </c>
      <c r="AJ84" s="115">
        <v>0.84033187</v>
      </c>
      <c r="AK84" s="115">
        <v>0.81177415</v>
      </c>
      <c r="AL84" s="116">
        <v>0.50040456</v>
      </c>
      <c r="AM84" s="116">
        <v>0.458732</v>
      </c>
      <c r="AN84" s="49">
        <f t="shared" si="20"/>
        <v>3.498868291</v>
      </c>
      <c r="AO84" s="50">
        <f t="shared" si="21"/>
        <v>1.104584408</v>
      </c>
      <c r="AP84" s="76">
        <f t="shared" si="22"/>
        <v>63.28802467</v>
      </c>
      <c r="AQ84" s="75">
        <f t="shared" si="25"/>
        <v>0.82773335</v>
      </c>
      <c r="AR84" s="52">
        <f t="shared" si="26"/>
        <v>47.42562752</v>
      </c>
      <c r="AS84" s="139">
        <f>(AN84/$AN$17 - 1) *100</f>
        <v>1.736290088</v>
      </c>
      <c r="AT84" s="142">
        <f>(AO84/$AO$17 - 1) *100</f>
        <v>5.489419436</v>
      </c>
      <c r="AU84" s="139">
        <f>(AQ84/$AQ$17 - 1) *100</f>
        <v>-0.9347182851</v>
      </c>
      <c r="AV84" s="141" t="s">
        <v>82</v>
      </c>
      <c r="AW84" s="38"/>
      <c r="AX84" s="38"/>
    </row>
    <row r="85">
      <c r="A85" s="6"/>
      <c r="B85" s="6"/>
      <c r="C85" s="6"/>
      <c r="D85" s="6"/>
      <c r="E85" s="71" t="s">
        <v>36</v>
      </c>
      <c r="F85" s="141" t="s">
        <v>41</v>
      </c>
      <c r="G85" s="6"/>
      <c r="H85" s="6"/>
      <c r="I85" s="6"/>
      <c r="J85" s="111">
        <v>0.0202</v>
      </c>
      <c r="K85" s="110">
        <v>0.0037</v>
      </c>
      <c r="L85" s="107">
        <v>0.0013</v>
      </c>
      <c r="M85" s="112">
        <v>0.59</v>
      </c>
      <c r="N85" s="113">
        <v>0.262</v>
      </c>
      <c r="O85" s="107">
        <v>1.573</v>
      </c>
      <c r="P85" s="114">
        <v>1.18752405959993</v>
      </c>
      <c r="Q85" s="114">
        <v>4.47521644982952</v>
      </c>
      <c r="R85" s="115">
        <v>1.1412064</v>
      </c>
      <c r="S85" s="115">
        <v>1.18190013</v>
      </c>
      <c r="T85" s="116">
        <v>0.88760508</v>
      </c>
      <c r="U85" s="116">
        <v>0.8789504</v>
      </c>
      <c r="V85" s="114">
        <v>1.87358270170114</v>
      </c>
      <c r="W85" s="114">
        <v>6.82653334720078</v>
      </c>
      <c r="X85" s="115">
        <v>1.20730382</v>
      </c>
      <c r="Y85" s="115">
        <v>1.22205394</v>
      </c>
      <c r="Z85" s="116">
        <v>1.02779029</v>
      </c>
      <c r="AA85" s="116">
        <v>1.04167265</v>
      </c>
      <c r="AB85" s="114">
        <v>1.63450177474895</v>
      </c>
      <c r="AC85" s="114">
        <v>5.68578337738292</v>
      </c>
      <c r="AD85" s="115">
        <v>1.24079697</v>
      </c>
      <c r="AE85" s="115">
        <v>1.27087479</v>
      </c>
      <c r="AF85" s="116">
        <v>0.98072322</v>
      </c>
      <c r="AG85" s="116">
        <v>0.98701073</v>
      </c>
      <c r="AH85" s="114">
        <v>0.738735165812465</v>
      </c>
      <c r="AI85" s="114">
        <v>2.86086492146895</v>
      </c>
      <c r="AJ85" s="115">
        <v>1.14200523</v>
      </c>
      <c r="AK85" s="115">
        <v>1.13919399</v>
      </c>
      <c r="AL85" s="116">
        <v>0.66002494</v>
      </c>
      <c r="AM85" s="116">
        <v>0.63031852</v>
      </c>
      <c r="AN85" s="49">
        <f t="shared" si="20"/>
        <v>3.160342725</v>
      </c>
      <c r="AO85" s="50">
        <f t="shared" si="21"/>
        <v>1.193166909</v>
      </c>
      <c r="AP85" s="76">
        <f t="shared" si="22"/>
        <v>68.36342813</v>
      </c>
      <c r="AQ85" s="75">
        <f t="shared" si="25"/>
        <v>0.8867619788</v>
      </c>
      <c r="AR85" s="52">
        <f t="shared" si="26"/>
        <v>50.80771882</v>
      </c>
      <c r="AS85" s="139">
        <f>(AN85/$AN$41 - 1) *100</f>
        <v>1.42285281</v>
      </c>
      <c r="AT85" s="142">
        <f>(AO85/$AO$41 - 1) *100</f>
        <v>4.460184734</v>
      </c>
      <c r="AU85" s="139">
        <f>(AQ85/$AQ$41 - 1) *100</f>
        <v>-5.690038111</v>
      </c>
      <c r="AV85" s="6"/>
      <c r="AW85" s="38"/>
      <c r="AX85" s="38"/>
    </row>
    <row r="86">
      <c r="A86" s="6"/>
      <c r="B86" s="6"/>
      <c r="C86" s="6"/>
      <c r="D86" s="6"/>
      <c r="E86" s="71" t="s">
        <v>65</v>
      </c>
      <c r="F86" s="6"/>
      <c r="G86" s="6"/>
      <c r="H86" s="6"/>
      <c r="I86" s="6"/>
      <c r="J86" s="111">
        <v>0.005</v>
      </c>
      <c r="K86" s="110">
        <v>9.0E-4</v>
      </c>
      <c r="L86" s="107">
        <v>0.0013</v>
      </c>
      <c r="M86" s="112">
        <v>0.147</v>
      </c>
      <c r="N86" s="113">
        <v>0.066</v>
      </c>
      <c r="O86" s="107">
        <v>0.393</v>
      </c>
      <c r="P86" s="114">
        <v>1.21731317873281</v>
      </c>
      <c r="Q86" s="114">
        <v>4.55287440998555</v>
      </c>
      <c r="R86" s="115">
        <v>1.32582811</v>
      </c>
      <c r="S86" s="115">
        <v>1.37950854</v>
      </c>
      <c r="T86" s="116">
        <v>1.11633384</v>
      </c>
      <c r="U86" s="116">
        <v>1.10868828</v>
      </c>
      <c r="V86" s="114">
        <v>1.83456640213248</v>
      </c>
      <c r="W86" s="114">
        <v>6.67553085749708</v>
      </c>
      <c r="X86" s="115">
        <v>1.3792626</v>
      </c>
      <c r="Y86" s="115">
        <v>1.39318965</v>
      </c>
      <c r="Z86" s="116">
        <v>1.15302777</v>
      </c>
      <c r="AA86" s="116">
        <v>1.16129022</v>
      </c>
      <c r="AB86" s="114">
        <v>1.62434020001043</v>
      </c>
      <c r="AC86" s="114">
        <v>5.52760462126591</v>
      </c>
      <c r="AD86" s="115">
        <v>1.37893481</v>
      </c>
      <c r="AE86" s="115">
        <v>1.41938679</v>
      </c>
      <c r="AF86" s="116">
        <v>1.12529402</v>
      </c>
      <c r="AG86" s="116">
        <v>1.14625913</v>
      </c>
      <c r="AH86" s="114">
        <v>0.839773882885597</v>
      </c>
      <c r="AI86" s="114">
        <v>3.22096200658256</v>
      </c>
      <c r="AJ86" s="115">
        <v>1.52650307</v>
      </c>
      <c r="AK86" s="115">
        <v>1.54524816</v>
      </c>
      <c r="AL86" s="116">
        <v>1.27201349</v>
      </c>
      <c r="AM86" s="116">
        <v>1.20758121</v>
      </c>
      <c r="AN86" s="49">
        <f t="shared" si="20"/>
        <v>3.186620695</v>
      </c>
      <c r="AO86" s="50">
        <f t="shared" si="21"/>
        <v>1.418482716</v>
      </c>
      <c r="AP86" s="76">
        <f t="shared" si="22"/>
        <v>81.27307295</v>
      </c>
      <c r="AQ86" s="75">
        <f t="shared" si="25"/>
        <v>1.161310995</v>
      </c>
      <c r="AR86" s="52">
        <f t="shared" si="26"/>
        <v>66.53821872</v>
      </c>
      <c r="AS86" s="139">
        <f>(AN86/$AN$40 - 1) *100</f>
        <v>1.234435647</v>
      </c>
      <c r="AT86" s="142">
        <f>(AO86/$AO$40 - 1) *100</f>
        <v>4.208160085</v>
      </c>
      <c r="AU86" s="139">
        <f>(AQ86/$AQ$40 - 1) *100</f>
        <v>-2.386918989</v>
      </c>
      <c r="AV86" s="6"/>
      <c r="AW86" s="38"/>
      <c r="AX86" s="38"/>
    </row>
    <row r="87">
      <c r="A87" s="15"/>
      <c r="B87" s="15"/>
      <c r="C87" s="15"/>
      <c r="D87" s="6"/>
      <c r="E87" s="71" t="s">
        <v>64</v>
      </c>
      <c r="F87" s="15"/>
      <c r="G87" s="15"/>
      <c r="H87" s="6"/>
      <c r="I87" s="15"/>
      <c r="J87" s="111">
        <v>0.0013</v>
      </c>
      <c r="K87" s="110">
        <v>2.0E-4</v>
      </c>
      <c r="L87" s="107">
        <v>0.0013</v>
      </c>
      <c r="M87" s="112">
        <v>0.037</v>
      </c>
      <c r="N87" s="113">
        <v>0.017</v>
      </c>
      <c r="O87" s="107">
        <v>0.098</v>
      </c>
      <c r="P87" s="114">
        <v>1.22944204869192</v>
      </c>
      <c r="Q87" s="114">
        <v>4.54472086206494</v>
      </c>
      <c r="R87" s="115">
        <v>1.46733941</v>
      </c>
      <c r="S87" s="115">
        <v>1.52435254</v>
      </c>
      <c r="T87" s="116">
        <v>1.18351623</v>
      </c>
      <c r="U87" s="116">
        <v>1.18773042</v>
      </c>
      <c r="V87" s="114">
        <v>1.79630650847385</v>
      </c>
      <c r="W87" s="114">
        <v>6.50649915211838</v>
      </c>
      <c r="X87" s="115">
        <v>1.49721287</v>
      </c>
      <c r="Y87" s="115">
        <v>1.49678332</v>
      </c>
      <c r="Z87" s="116">
        <v>1.37103078</v>
      </c>
      <c r="AA87" s="116">
        <v>1.40699537</v>
      </c>
      <c r="AB87" s="114">
        <v>1.59760941067731</v>
      </c>
      <c r="AC87" s="114">
        <v>5.43873307243988</v>
      </c>
      <c r="AD87" s="115">
        <v>1.43521105</v>
      </c>
      <c r="AE87" s="115">
        <v>1.4654986</v>
      </c>
      <c r="AF87" s="116">
        <v>1.29338585</v>
      </c>
      <c r="AG87" s="116">
        <v>1.23310277</v>
      </c>
      <c r="AH87" s="114">
        <v>0.883168174562068</v>
      </c>
      <c r="AI87" s="114">
        <v>3.29572333319697</v>
      </c>
      <c r="AJ87" s="115">
        <v>1.69844692</v>
      </c>
      <c r="AK87" s="115">
        <v>1.74124836</v>
      </c>
      <c r="AL87" s="116">
        <v>1.4556236</v>
      </c>
      <c r="AM87" s="116">
        <v>1.38430627</v>
      </c>
      <c r="AN87" s="49">
        <f t="shared" si="20"/>
        <v>3.16152532</v>
      </c>
      <c r="AO87" s="50">
        <f t="shared" si="21"/>
        <v>1.540761634</v>
      </c>
      <c r="AP87" s="76">
        <f t="shared" si="22"/>
        <v>88.27913885</v>
      </c>
      <c r="AQ87" s="75">
        <f t="shared" si="25"/>
        <v>1.314461411</v>
      </c>
      <c r="AR87" s="52">
        <f t="shared" si="26"/>
        <v>75.3130912</v>
      </c>
      <c r="AS87" s="139">
        <f>(AN87/$AN$39 - 1) *100</f>
        <v>0.1552715152</v>
      </c>
      <c r="AT87" s="140">
        <f>(AO87/$AO$39 - 1) *100</f>
        <v>-1.108368075</v>
      </c>
      <c r="AU87" s="139">
        <f>(AQ87/$AQ$39 - 1) *100</f>
        <v>-8.706590334</v>
      </c>
      <c r="AV87" s="15"/>
      <c r="AW87" s="38"/>
      <c r="AX87" s="38"/>
    </row>
    <row r="88">
      <c r="A88" s="119" t="s">
        <v>48</v>
      </c>
      <c r="B88" s="159"/>
      <c r="C88" s="159" t="s">
        <v>36</v>
      </c>
      <c r="D88" s="6"/>
      <c r="E88" s="107" t="s">
        <v>38</v>
      </c>
      <c r="F88" s="109" t="s">
        <v>37</v>
      </c>
      <c r="G88" s="125">
        <v>32.0</v>
      </c>
      <c r="H88" s="6"/>
      <c r="I88" s="104">
        <v>6.0</v>
      </c>
      <c r="J88" s="111">
        <v>3.6658</v>
      </c>
      <c r="K88" s="110">
        <v>0.0839</v>
      </c>
      <c r="L88" s="107">
        <v>0.0563</v>
      </c>
      <c r="M88" s="112">
        <v>16.777</v>
      </c>
      <c r="N88" s="113">
        <v>8.407</v>
      </c>
      <c r="O88" s="107">
        <v>35.914</v>
      </c>
      <c r="P88" s="114">
        <v>1.01801318897342</v>
      </c>
      <c r="Q88" s="114">
        <v>3.84278008405251</v>
      </c>
      <c r="R88" s="115">
        <v>0.52067828</v>
      </c>
      <c r="S88" s="115">
        <v>0.51228529</v>
      </c>
      <c r="T88" s="116">
        <v>0.40093009</v>
      </c>
      <c r="U88" s="116">
        <v>0.3931965</v>
      </c>
      <c r="V88" s="114">
        <v>1.85476103861091</v>
      </c>
      <c r="W88" s="114">
        <v>6.63854261191662</v>
      </c>
      <c r="X88" s="115">
        <v>0.70030685</v>
      </c>
      <c r="Y88" s="115">
        <v>0.66565297</v>
      </c>
      <c r="Z88" s="116">
        <v>0.55219932</v>
      </c>
      <c r="AA88" s="116">
        <v>0.5118165</v>
      </c>
      <c r="AB88" s="114">
        <v>1.58013796513288</v>
      </c>
      <c r="AC88" s="114">
        <v>5.59161189435965</v>
      </c>
      <c r="AD88" s="115">
        <v>0.59396367</v>
      </c>
      <c r="AE88" s="115">
        <v>0.56107178</v>
      </c>
      <c r="AF88" s="116">
        <v>0.39459439</v>
      </c>
      <c r="AG88" s="116">
        <v>0.37473153</v>
      </c>
      <c r="AH88" s="114">
        <v>0.562325095811253</v>
      </c>
      <c r="AI88" s="114">
        <v>2.10955282457456</v>
      </c>
      <c r="AJ88" s="115">
        <v>0.43537361</v>
      </c>
      <c r="AK88" s="115">
        <v>0.43018457</v>
      </c>
      <c r="AL88" s="116">
        <v>0.48321773</v>
      </c>
      <c r="AM88" s="116">
        <v>0.50427902</v>
      </c>
      <c r="AN88" s="49">
        <f t="shared" si="20"/>
        <v>2.899715588</v>
      </c>
      <c r="AO88" s="50">
        <f t="shared" si="21"/>
        <v>0.5524396275</v>
      </c>
      <c r="AP88" s="76">
        <f t="shared" si="22"/>
        <v>31.65245909</v>
      </c>
      <c r="AQ88" s="75">
        <f t="shared" si="25"/>
        <v>0.451870635</v>
      </c>
      <c r="AR88" s="52">
        <f t="shared" si="26"/>
        <v>25.89028027</v>
      </c>
      <c r="AS88" s="139">
        <f>(AN88/$AN$18 - 1) *100</f>
        <v>1.433584079</v>
      </c>
      <c r="AT88" s="142">
        <f>(AO88/$AO$18 - 1) *100</f>
        <v>10.04276591</v>
      </c>
      <c r="AU88" s="139">
        <f>(AQ88/$AQ$18 - 1) *100</f>
        <v>-9.140962405</v>
      </c>
      <c r="AV88" s="141" t="s">
        <v>83</v>
      </c>
      <c r="AW88" s="38"/>
      <c r="AX88" s="38"/>
    </row>
    <row r="89">
      <c r="A89" s="6"/>
      <c r="B89" s="6"/>
      <c r="C89" s="6"/>
      <c r="D89" s="6"/>
      <c r="E89" s="71" t="s">
        <v>36</v>
      </c>
      <c r="F89" s="141" t="s">
        <v>41</v>
      </c>
      <c r="G89" s="6"/>
      <c r="H89" s="6"/>
      <c r="I89" s="6"/>
      <c r="J89" s="111">
        <v>0.9165</v>
      </c>
      <c r="K89" s="110">
        <v>0.021</v>
      </c>
      <c r="L89" s="107">
        <v>0.0563</v>
      </c>
      <c r="M89" s="112">
        <v>4.194</v>
      </c>
      <c r="N89" s="113">
        <v>2.116</v>
      </c>
      <c r="O89" s="107">
        <v>8.978</v>
      </c>
      <c r="P89" s="114">
        <v>0.990393731880248</v>
      </c>
      <c r="Q89" s="114">
        <v>3.63053540028717</v>
      </c>
      <c r="R89" s="115">
        <v>0.63147744</v>
      </c>
      <c r="S89" s="115">
        <v>0.63306634</v>
      </c>
      <c r="T89" s="116">
        <v>0.47485263</v>
      </c>
      <c r="U89" s="116">
        <v>0.45647824</v>
      </c>
      <c r="V89" s="114">
        <v>1.6300309983646</v>
      </c>
      <c r="W89" s="114">
        <v>5.78259665672963</v>
      </c>
      <c r="X89" s="115">
        <v>0.68942187</v>
      </c>
      <c r="Y89" s="115">
        <v>0.67803633</v>
      </c>
      <c r="Z89" s="116">
        <v>0.72829354</v>
      </c>
      <c r="AA89" s="116">
        <v>0.68176093</v>
      </c>
      <c r="AB89" s="114">
        <v>1.37326572555081</v>
      </c>
      <c r="AC89" s="114">
        <v>4.61167302320734</v>
      </c>
      <c r="AD89" s="115">
        <v>0.6246653</v>
      </c>
      <c r="AE89" s="115">
        <v>0.61166264</v>
      </c>
      <c r="AF89" s="116">
        <v>0.54006852</v>
      </c>
      <c r="AG89" s="116">
        <v>0.50829384</v>
      </c>
      <c r="AH89" s="114">
        <v>0.610191510259844</v>
      </c>
      <c r="AI89" s="114">
        <v>2.30038363153383</v>
      </c>
      <c r="AJ89" s="115">
        <v>0.61848227</v>
      </c>
      <c r="AK89" s="115">
        <v>0.62762391</v>
      </c>
      <c r="AL89" s="116">
        <v>0.4863523</v>
      </c>
      <c r="AM89" s="116">
        <v>0.47073538</v>
      </c>
      <c r="AN89" s="49">
        <f t="shared" si="20"/>
        <v>2.616133835</v>
      </c>
      <c r="AO89" s="50">
        <f t="shared" si="21"/>
        <v>0.6393045125</v>
      </c>
      <c r="AP89" s="76">
        <f t="shared" si="22"/>
        <v>36.62945039</v>
      </c>
      <c r="AQ89" s="75">
        <f t="shared" si="25"/>
        <v>0.5433544225</v>
      </c>
      <c r="AR89" s="52">
        <f t="shared" si="26"/>
        <v>31.13191519</v>
      </c>
      <c r="AS89" s="139">
        <f>(AN89/$AN$62 - 1) *100</f>
        <v>-6.59984508</v>
      </c>
      <c r="AT89" s="140">
        <f>(AO89/$AO$62 - 1) *100</f>
        <v>-11.44832034</v>
      </c>
      <c r="AU89" s="139">
        <f>(AQ89/$AQ$62 - 1) *100</f>
        <v>-32.39983472</v>
      </c>
      <c r="AV89" s="6"/>
      <c r="AW89" s="38"/>
      <c r="AX89" s="38"/>
    </row>
    <row r="90">
      <c r="A90" s="6"/>
      <c r="B90" s="6"/>
      <c r="C90" s="6"/>
      <c r="D90" s="6"/>
      <c r="E90" s="71" t="s">
        <v>65</v>
      </c>
      <c r="F90" s="6"/>
      <c r="G90" s="6"/>
      <c r="H90" s="6"/>
      <c r="I90" s="6"/>
      <c r="J90" s="111">
        <v>0.2291</v>
      </c>
      <c r="K90" s="110">
        <v>0.0052</v>
      </c>
      <c r="L90" s="107">
        <v>0.0563</v>
      </c>
      <c r="M90" s="112">
        <v>1.049</v>
      </c>
      <c r="N90" s="113">
        <v>0.543</v>
      </c>
      <c r="O90" s="107">
        <v>2.245</v>
      </c>
      <c r="P90" s="114">
        <v>1.07510679283211</v>
      </c>
      <c r="Q90" s="114">
        <v>3.91631922180924</v>
      </c>
      <c r="R90" s="115">
        <v>0.95611733</v>
      </c>
      <c r="S90" s="115">
        <v>0.98102726</v>
      </c>
      <c r="T90" s="116">
        <v>0.65235102</v>
      </c>
      <c r="U90" s="116">
        <v>0.6329144</v>
      </c>
      <c r="V90" s="114">
        <v>1.62752935189991</v>
      </c>
      <c r="W90" s="114">
        <v>5.78946520337753</v>
      </c>
      <c r="X90" s="115">
        <v>0.84337292</v>
      </c>
      <c r="Y90" s="115">
        <v>0.85375078</v>
      </c>
      <c r="Z90" s="116">
        <v>0.60301659</v>
      </c>
      <c r="AA90" s="116">
        <v>0.59713235</v>
      </c>
      <c r="AB90" s="114">
        <v>1.42673676724978</v>
      </c>
      <c r="AC90" s="114">
        <v>4.70821866772163</v>
      </c>
      <c r="AD90" s="115">
        <v>0.83947052</v>
      </c>
      <c r="AE90" s="115">
        <v>0.86689859</v>
      </c>
      <c r="AF90" s="116">
        <v>0.57430277</v>
      </c>
      <c r="AG90" s="116">
        <v>0.56804461</v>
      </c>
      <c r="AH90" s="114">
        <v>0.700536700449541</v>
      </c>
      <c r="AI90" s="114">
        <v>2.62138894262939</v>
      </c>
      <c r="AJ90" s="115">
        <v>1.11553914</v>
      </c>
      <c r="AK90" s="115">
        <v>1.16507948</v>
      </c>
      <c r="AL90" s="116">
        <v>1.0472029</v>
      </c>
      <c r="AM90" s="116">
        <v>1.02413839</v>
      </c>
      <c r="AN90" s="49">
        <f t="shared" si="20"/>
        <v>2.733162706</v>
      </c>
      <c r="AO90" s="50">
        <f t="shared" si="21"/>
        <v>0.9526570025</v>
      </c>
      <c r="AP90" s="76">
        <f t="shared" si="22"/>
        <v>54.58322557</v>
      </c>
      <c r="AQ90" s="75">
        <f t="shared" si="25"/>
        <v>0.7123878788</v>
      </c>
      <c r="AR90" s="52">
        <f t="shared" si="26"/>
        <v>40.81681883</v>
      </c>
      <c r="AS90" s="139">
        <f>(AN90/$AN$61 - 1) *100</f>
        <v>-12.50258993</v>
      </c>
      <c r="AT90" s="140">
        <f>(AO90/$AO$61 - 1) *100</f>
        <v>-13.57664253</v>
      </c>
      <c r="AU90" s="139">
        <f>(AQ90/$AQ$61 - 1) *100</f>
        <v>-41.36141939</v>
      </c>
      <c r="AV90" s="6"/>
      <c r="AW90" s="38"/>
      <c r="AX90" s="38"/>
    </row>
    <row r="91">
      <c r="A91" s="15"/>
      <c r="B91" s="15"/>
      <c r="C91" s="15"/>
      <c r="D91" s="6"/>
      <c r="E91" s="71" t="s">
        <v>64</v>
      </c>
      <c r="F91" s="15"/>
      <c r="G91" s="15"/>
      <c r="H91" s="6"/>
      <c r="I91" s="6"/>
      <c r="J91" s="111">
        <v>0.0573</v>
      </c>
      <c r="K91" s="110">
        <v>0.0013</v>
      </c>
      <c r="L91" s="107">
        <v>0.0563</v>
      </c>
      <c r="M91" s="112">
        <v>0.262</v>
      </c>
      <c r="N91" s="113">
        <v>0.15</v>
      </c>
      <c r="O91" s="107">
        <v>0.561</v>
      </c>
      <c r="P91" s="114">
        <v>1.12835407139045</v>
      </c>
      <c r="Q91" s="114">
        <v>4.12045619042756</v>
      </c>
      <c r="R91" s="115">
        <v>1.28109173</v>
      </c>
      <c r="S91" s="115">
        <v>1.31689231</v>
      </c>
      <c r="T91" s="116">
        <v>1.11743969</v>
      </c>
      <c r="U91" s="116">
        <v>1.1273811</v>
      </c>
      <c r="V91" s="114">
        <v>1.64688866713224</v>
      </c>
      <c r="W91" s="114">
        <v>5.85876389876678</v>
      </c>
      <c r="X91" s="115">
        <v>1.17967579</v>
      </c>
      <c r="Y91" s="115">
        <v>1.18990108</v>
      </c>
      <c r="Z91" s="116">
        <v>0.77784008</v>
      </c>
      <c r="AA91" s="116">
        <v>0.77822907</v>
      </c>
      <c r="AB91" s="114">
        <v>1.48824697096973</v>
      </c>
      <c r="AC91" s="114">
        <v>4.95494657459728</v>
      </c>
      <c r="AD91" s="115">
        <v>1.19004154</v>
      </c>
      <c r="AE91" s="115">
        <v>1.20545443</v>
      </c>
      <c r="AF91" s="116">
        <v>0.8463582</v>
      </c>
      <c r="AG91" s="116">
        <v>0.8510055</v>
      </c>
      <c r="AH91" s="114">
        <v>0.749082231355044</v>
      </c>
      <c r="AI91" s="114">
        <v>2.7120853342812</v>
      </c>
      <c r="AJ91" s="115">
        <v>1.48511108</v>
      </c>
      <c r="AK91" s="115">
        <v>1.56725263</v>
      </c>
      <c r="AL91" s="116">
        <v>1.67216185</v>
      </c>
      <c r="AM91" s="116">
        <v>1.64893331</v>
      </c>
      <c r="AN91" s="49">
        <f t="shared" si="20"/>
        <v>2.832352992</v>
      </c>
      <c r="AO91" s="50">
        <f t="shared" si="21"/>
        <v>1.301927574</v>
      </c>
      <c r="AP91" s="76">
        <f t="shared" si="22"/>
        <v>74.59495521</v>
      </c>
      <c r="AQ91" s="75">
        <f t="shared" si="25"/>
        <v>1.1024186</v>
      </c>
      <c r="AR91" s="52">
        <f t="shared" si="26"/>
        <v>63.16393304</v>
      </c>
      <c r="AS91" s="139">
        <f>(AN91/$AN$60 - 1) *100</f>
        <v>-12.88466948</v>
      </c>
      <c r="AT91" s="140">
        <f>(AO91/$AO$60 - 1) *100</f>
        <v>-5.837696621</v>
      </c>
      <c r="AU91" s="139">
        <f>(AQ91/$AQ$60 - 1) *100</f>
        <v>-24.72393111</v>
      </c>
      <c r="AV91" s="15"/>
      <c r="AW91" s="38"/>
      <c r="AX91" s="38"/>
    </row>
    <row r="92">
      <c r="A92" s="119" t="s">
        <v>49</v>
      </c>
      <c r="B92" s="159"/>
      <c r="C92" s="159" t="s">
        <v>36</v>
      </c>
      <c r="D92" s="6"/>
      <c r="E92" s="107" t="s">
        <v>38</v>
      </c>
      <c r="F92" s="109" t="s">
        <v>37</v>
      </c>
      <c r="G92" s="77">
        <v>16.0</v>
      </c>
      <c r="H92" s="6"/>
      <c r="I92" s="6"/>
      <c r="J92" s="111">
        <v>0.9269</v>
      </c>
      <c r="K92" s="110">
        <v>0.0419</v>
      </c>
      <c r="L92" s="107">
        <v>0.0143</v>
      </c>
      <c r="M92" s="112">
        <v>8.389</v>
      </c>
      <c r="N92" s="113">
        <v>4.199</v>
      </c>
      <c r="O92" s="107">
        <v>18.088</v>
      </c>
      <c r="P92" s="114">
        <v>1.05351773273282</v>
      </c>
      <c r="Q92" s="114">
        <v>3.98615216528486</v>
      </c>
      <c r="R92" s="115">
        <v>0.57168564</v>
      </c>
      <c r="S92" s="115">
        <v>0.55267785</v>
      </c>
      <c r="T92" s="116">
        <v>0.71906798</v>
      </c>
      <c r="U92" s="116">
        <v>0.67151999</v>
      </c>
      <c r="V92" s="114">
        <v>1.84057030123213</v>
      </c>
      <c r="W92" s="114">
        <v>6.61899721306462</v>
      </c>
      <c r="X92" s="115">
        <v>0.67898332</v>
      </c>
      <c r="Y92" s="115">
        <v>0.65562468</v>
      </c>
      <c r="Z92" s="116">
        <v>0.83409465</v>
      </c>
      <c r="AA92" s="116">
        <v>0.79670644</v>
      </c>
      <c r="AB92" s="114">
        <v>1.57429770112692</v>
      </c>
      <c r="AC92" s="114">
        <v>5.58002498860919</v>
      </c>
      <c r="AD92" s="115">
        <v>0.58870672</v>
      </c>
      <c r="AE92" s="115">
        <v>0.56403252</v>
      </c>
      <c r="AF92" s="116">
        <v>0.65772332</v>
      </c>
      <c r="AG92" s="116">
        <v>0.61020592</v>
      </c>
      <c r="AH92" s="114">
        <v>0.611711694388056</v>
      </c>
      <c r="AI92" s="114">
        <v>2.29135768886677</v>
      </c>
      <c r="AJ92" s="115">
        <v>0.56903402</v>
      </c>
      <c r="AK92" s="115">
        <v>0.54866802</v>
      </c>
      <c r="AL92" s="116">
        <v>0.68188558</v>
      </c>
      <c r="AM92" s="116">
        <v>0.67510585</v>
      </c>
      <c r="AN92" s="49">
        <f t="shared" si="20"/>
        <v>2.944578686</v>
      </c>
      <c r="AO92" s="50">
        <f t="shared" si="21"/>
        <v>0.5911765963</v>
      </c>
      <c r="AP92" s="76">
        <f t="shared" si="22"/>
        <v>33.87192391</v>
      </c>
      <c r="AQ92" s="75">
        <f t="shared" si="25"/>
        <v>0.7057887163</v>
      </c>
      <c r="AR92" s="52">
        <f t="shared" si="26"/>
        <v>40.43871467</v>
      </c>
      <c r="AS92" s="139">
        <f>(AN92/$AN$19 - 1) *100</f>
        <v>3.812401675</v>
      </c>
      <c r="AT92" s="142">
        <f>(AO92/$AO$19 - 1) *100</f>
        <v>23.30994162</v>
      </c>
      <c r="AU92" s="139">
        <f>(AQ92/$AQ$19 - 1) *100</f>
        <v>32.27181002</v>
      </c>
      <c r="AV92" s="141" t="s">
        <v>81</v>
      </c>
      <c r="AW92" s="38"/>
      <c r="AX92" s="38"/>
    </row>
    <row r="93">
      <c r="A93" s="6"/>
      <c r="B93" s="6"/>
      <c r="C93" s="6"/>
      <c r="D93" s="6"/>
      <c r="E93" s="71" t="s">
        <v>36</v>
      </c>
      <c r="F93" s="141" t="s">
        <v>41</v>
      </c>
      <c r="G93" s="6"/>
      <c r="H93" s="6"/>
      <c r="I93" s="6"/>
      <c r="J93" s="111">
        <v>0.2317</v>
      </c>
      <c r="K93" s="110">
        <v>0.0105</v>
      </c>
      <c r="L93" s="107">
        <v>0.0143</v>
      </c>
      <c r="M93" s="112">
        <v>2.097</v>
      </c>
      <c r="N93" s="113">
        <v>1.053</v>
      </c>
      <c r="O93" s="107">
        <v>4.522</v>
      </c>
      <c r="P93" s="114">
        <v>1.00924647752428</v>
      </c>
      <c r="Q93" s="114">
        <v>3.75688542738401</v>
      </c>
      <c r="R93" s="115">
        <v>0.59212628</v>
      </c>
      <c r="S93" s="115">
        <v>0.6001385</v>
      </c>
      <c r="T93" s="116">
        <v>0.72874052</v>
      </c>
      <c r="U93" s="116">
        <v>0.71680734</v>
      </c>
      <c r="V93" s="114">
        <v>1.63572741845886</v>
      </c>
      <c r="W93" s="114">
        <v>5.86420486333496</v>
      </c>
      <c r="X93" s="115">
        <v>0.6423611</v>
      </c>
      <c r="Y93" s="115">
        <v>0.64957823</v>
      </c>
      <c r="Z93" s="116">
        <v>0.7971286</v>
      </c>
      <c r="AA93" s="116">
        <v>0.78512229</v>
      </c>
      <c r="AB93" s="114">
        <v>1.40032078382629</v>
      </c>
      <c r="AC93" s="114">
        <v>4.74824957865813</v>
      </c>
      <c r="AD93" s="115">
        <v>0.60327783</v>
      </c>
      <c r="AE93" s="115">
        <v>0.60383406</v>
      </c>
      <c r="AF93" s="116">
        <v>0.68073854</v>
      </c>
      <c r="AG93" s="116">
        <v>0.65702225</v>
      </c>
      <c r="AH93" s="114">
        <v>0.672802986946668</v>
      </c>
      <c r="AI93" s="114">
        <v>2.55358266922843</v>
      </c>
      <c r="AJ93" s="115">
        <v>0.81511573</v>
      </c>
      <c r="AK93" s="115">
        <v>0.81149769</v>
      </c>
      <c r="AL93" s="116">
        <v>1.04049113</v>
      </c>
      <c r="AM93" s="116">
        <v>1.00170254</v>
      </c>
      <c r="AN93" s="49">
        <f t="shared" si="20"/>
        <v>2.705127526</v>
      </c>
      <c r="AO93" s="50">
        <f t="shared" si="21"/>
        <v>0.6647411775</v>
      </c>
      <c r="AP93" s="76">
        <f t="shared" si="22"/>
        <v>38.08686394</v>
      </c>
      <c r="AQ93" s="75">
        <f t="shared" si="25"/>
        <v>0.8009691513</v>
      </c>
      <c r="AR93" s="52">
        <f t="shared" si="26"/>
        <v>45.89215189</v>
      </c>
      <c r="AS93" s="139">
        <f>(AN93/$AN$59 - 1) *100</f>
        <v>4.472232396</v>
      </c>
      <c r="AT93" s="142">
        <f>(AO93/$AO$59 - 1) *100</f>
        <v>16.71742837</v>
      </c>
      <c r="AU93" s="139">
        <f>(AQ93/$AQ$59 - 1) *100</f>
        <v>51.79892971</v>
      </c>
      <c r="AV93" s="6"/>
      <c r="AW93" s="38"/>
      <c r="AX93" s="38"/>
    </row>
    <row r="94">
      <c r="A94" s="6"/>
      <c r="B94" s="6"/>
      <c r="C94" s="6"/>
      <c r="D94" s="6"/>
      <c r="E94" s="71" t="s">
        <v>65</v>
      </c>
      <c r="F94" s="6"/>
      <c r="G94" s="6"/>
      <c r="H94" s="6"/>
      <c r="I94" s="6"/>
      <c r="J94" s="111">
        <v>0.0579</v>
      </c>
      <c r="K94" s="110">
        <v>0.0026</v>
      </c>
      <c r="L94" s="107">
        <v>0.0143</v>
      </c>
      <c r="M94" s="112">
        <v>0.524</v>
      </c>
      <c r="N94" s="113">
        <v>0.267</v>
      </c>
      <c r="O94" s="107">
        <v>1.13</v>
      </c>
      <c r="P94" s="114">
        <v>1.12580251145167</v>
      </c>
      <c r="Q94" s="114">
        <v>4.18563300973971</v>
      </c>
      <c r="R94" s="115">
        <v>0.85989763</v>
      </c>
      <c r="S94" s="115">
        <v>0.86814631</v>
      </c>
      <c r="T94" s="116">
        <v>0.95734654</v>
      </c>
      <c r="U94" s="116">
        <v>0.95360833</v>
      </c>
      <c r="V94" s="114">
        <v>1.75234840668825</v>
      </c>
      <c r="W94" s="114">
        <v>6.30355029559938</v>
      </c>
      <c r="X94" s="115">
        <v>0.9422618</v>
      </c>
      <c r="Y94" s="115">
        <v>0.93752399</v>
      </c>
      <c r="Z94" s="116">
        <v>1.03041975</v>
      </c>
      <c r="AA94" s="116">
        <v>0.99624243</v>
      </c>
      <c r="AB94" s="114">
        <v>1.50416420678947</v>
      </c>
      <c r="AC94" s="114">
        <v>5.09567924893277</v>
      </c>
      <c r="AD94" s="115">
        <v>0.81203847</v>
      </c>
      <c r="AE94" s="115">
        <v>0.81929283</v>
      </c>
      <c r="AF94" s="116">
        <v>0.90057167</v>
      </c>
      <c r="AG94" s="116">
        <v>0.88038708</v>
      </c>
      <c r="AH94" s="114">
        <v>0.834954638991947</v>
      </c>
      <c r="AI94" s="114">
        <v>3.09957710579514</v>
      </c>
      <c r="AJ94" s="115">
        <v>1.23863143</v>
      </c>
      <c r="AK94" s="115">
        <v>1.23865668</v>
      </c>
      <c r="AL94" s="116">
        <v>1.51407569</v>
      </c>
      <c r="AM94" s="116">
        <v>1.44150259</v>
      </c>
      <c r="AN94" s="49">
        <f t="shared" si="20"/>
        <v>2.987713678</v>
      </c>
      <c r="AO94" s="50">
        <f t="shared" si="21"/>
        <v>0.9645561425</v>
      </c>
      <c r="AP94" s="76">
        <f t="shared" si="22"/>
        <v>55.26499607</v>
      </c>
      <c r="AQ94" s="75">
        <f t="shared" si="25"/>
        <v>1.08426926</v>
      </c>
      <c r="AR94" s="52">
        <f t="shared" si="26"/>
        <v>62.12405245</v>
      </c>
      <c r="AS94" s="139">
        <f>(AN94/$AN$58 - 1) *100</f>
        <v>4.660907985</v>
      </c>
      <c r="AT94" s="142">
        <f>(AO94/$AO$58 - 1) *100</f>
        <v>8.423198994</v>
      </c>
      <c r="AU94" s="139">
        <f>(AQ94/$AQ$58 - 1) *100</f>
        <v>59.62793285</v>
      </c>
      <c r="AV94" s="6"/>
      <c r="AW94" s="38"/>
      <c r="AX94" s="38"/>
    </row>
    <row r="95">
      <c r="A95" s="15"/>
      <c r="B95" s="15"/>
      <c r="C95" s="15"/>
      <c r="D95" s="6"/>
      <c r="E95" s="71" t="s">
        <v>64</v>
      </c>
      <c r="F95" s="15"/>
      <c r="G95" s="15"/>
      <c r="H95" s="6"/>
      <c r="I95" s="6"/>
      <c r="J95" s="111">
        <v>0.0145</v>
      </c>
      <c r="K95" s="110">
        <v>7.0E-4</v>
      </c>
      <c r="L95" s="107">
        <v>0.0143</v>
      </c>
      <c r="M95" s="112">
        <v>0.131</v>
      </c>
      <c r="N95" s="113">
        <v>0.07</v>
      </c>
      <c r="O95" s="107">
        <v>0.283</v>
      </c>
      <c r="P95" s="114">
        <v>1.17907652309984</v>
      </c>
      <c r="Q95" s="114">
        <v>4.37594125710224</v>
      </c>
      <c r="R95" s="115">
        <v>1.15377687</v>
      </c>
      <c r="S95" s="115">
        <v>1.17411959</v>
      </c>
      <c r="T95" s="116">
        <v>1.03480713</v>
      </c>
      <c r="U95" s="116">
        <v>1.0456633</v>
      </c>
      <c r="V95" s="114">
        <v>1.72989210400595</v>
      </c>
      <c r="W95" s="114">
        <v>6.23290555038354</v>
      </c>
      <c r="X95" s="115">
        <v>1.09936456</v>
      </c>
      <c r="Y95" s="115">
        <v>1.13558293</v>
      </c>
      <c r="Z95" s="116">
        <v>1.0684433</v>
      </c>
      <c r="AA95" s="116">
        <v>1.09951598</v>
      </c>
      <c r="AB95" s="114">
        <v>1.52143128695582</v>
      </c>
      <c r="AC95" s="114">
        <v>5.16314645503317</v>
      </c>
      <c r="AD95" s="115">
        <v>0.99621133</v>
      </c>
      <c r="AE95" s="115">
        <v>1.02278515</v>
      </c>
      <c r="AF95" s="116">
        <v>0.89223265</v>
      </c>
      <c r="AG95" s="116">
        <v>0.88367935</v>
      </c>
      <c r="AH95" s="114">
        <v>0.775084267050551</v>
      </c>
      <c r="AI95" s="114">
        <v>2.77168059278964</v>
      </c>
      <c r="AJ95" s="115">
        <v>1.25606368</v>
      </c>
      <c r="AK95" s="115">
        <v>1.26428449</v>
      </c>
      <c r="AL95" s="116">
        <v>1.20559223</v>
      </c>
      <c r="AM95" s="116">
        <v>1.15961057</v>
      </c>
      <c r="AN95" s="49">
        <f t="shared" si="20"/>
        <v>2.968644755</v>
      </c>
      <c r="AO95" s="50">
        <f t="shared" si="21"/>
        <v>1.137773575</v>
      </c>
      <c r="AP95" s="76">
        <f t="shared" si="22"/>
        <v>65.18962389</v>
      </c>
      <c r="AQ95" s="75">
        <f t="shared" si="25"/>
        <v>1.048693064</v>
      </c>
      <c r="AR95" s="52">
        <f t="shared" si="26"/>
        <v>60.08568656</v>
      </c>
      <c r="AS95" s="139">
        <f>(AN95/$AN$57 - 1) *100</f>
        <v>-1.312877519</v>
      </c>
      <c r="AT95" s="140">
        <f>(AO95/$AO$57 - 1) *100</f>
        <v>-4.834275</v>
      </c>
      <c r="AU95" s="139">
        <f>(AQ95/$AQ$57 - 1) *100</f>
        <v>1.829466908</v>
      </c>
      <c r="AV95" s="15"/>
      <c r="AW95" s="38"/>
      <c r="AX95" s="38"/>
    </row>
    <row r="96">
      <c r="A96" s="119" t="s">
        <v>50</v>
      </c>
      <c r="B96" s="159"/>
      <c r="C96" s="159" t="s">
        <v>36</v>
      </c>
      <c r="D96" s="6"/>
      <c r="E96" s="107" t="s">
        <v>38</v>
      </c>
      <c r="F96" s="109" t="s">
        <v>37</v>
      </c>
      <c r="G96" s="77">
        <v>8.0</v>
      </c>
      <c r="H96" s="6"/>
      <c r="I96" s="6"/>
      <c r="J96" s="111">
        <v>0.237</v>
      </c>
      <c r="K96" s="110">
        <v>0.021</v>
      </c>
      <c r="L96" s="107">
        <v>0.0037</v>
      </c>
      <c r="M96" s="112">
        <v>4.194</v>
      </c>
      <c r="N96" s="113">
        <v>2.098</v>
      </c>
      <c r="O96" s="107">
        <v>9.175</v>
      </c>
      <c r="P96" s="114">
        <v>1.17693819874493</v>
      </c>
      <c r="Q96" s="114">
        <v>4.53635193276009</v>
      </c>
      <c r="R96" s="115">
        <v>0.87439592</v>
      </c>
      <c r="S96" s="115">
        <v>0.89647821</v>
      </c>
      <c r="T96" s="116">
        <v>0.61520667</v>
      </c>
      <c r="U96" s="116">
        <v>0.61226068</v>
      </c>
      <c r="V96" s="114">
        <v>1.99317267818451</v>
      </c>
      <c r="W96" s="114">
        <v>7.26945369110312</v>
      </c>
      <c r="X96" s="115">
        <v>0.94364141</v>
      </c>
      <c r="Y96" s="115">
        <v>0.95849209</v>
      </c>
      <c r="Z96" s="116">
        <v>0.81332606</v>
      </c>
      <c r="AA96" s="116">
        <v>0.78222366</v>
      </c>
      <c r="AB96" s="114">
        <v>1.72636153885056</v>
      </c>
      <c r="AC96" s="114">
        <v>6.22932018309657</v>
      </c>
      <c r="AD96" s="115">
        <v>0.87039029</v>
      </c>
      <c r="AE96" s="115">
        <v>0.87120644</v>
      </c>
      <c r="AF96" s="116">
        <v>0.69660693</v>
      </c>
      <c r="AG96" s="116">
        <v>0.67023537</v>
      </c>
      <c r="AH96" s="114">
        <v>0.745592536049875</v>
      </c>
      <c r="AI96" s="114">
        <v>2.86474259146197</v>
      </c>
      <c r="AJ96" s="115">
        <v>0.73169072</v>
      </c>
      <c r="AK96" s="115">
        <v>0.74683671</v>
      </c>
      <c r="AL96" s="116">
        <v>0.61044011</v>
      </c>
      <c r="AM96" s="116">
        <v>0.6053801</v>
      </c>
      <c r="AN96" s="49">
        <f t="shared" si="20"/>
        <v>3.317741669</v>
      </c>
      <c r="AO96" s="50">
        <f t="shared" si="21"/>
        <v>0.8616414738</v>
      </c>
      <c r="AP96" s="76">
        <f t="shared" si="22"/>
        <v>49.3684199</v>
      </c>
      <c r="AQ96" s="75">
        <f t="shared" si="25"/>
        <v>0.6757099475</v>
      </c>
      <c r="AR96" s="52">
        <f t="shared" si="26"/>
        <v>38.71532817</v>
      </c>
      <c r="AS96" s="139">
        <f>(AN96/$AN$20 - 1) *100</f>
        <v>-1.692026183</v>
      </c>
      <c r="AT96" s="140">
        <f>(AO96/$AO$20 - 1) *100</f>
        <v>-7.918098846</v>
      </c>
      <c r="AU96" s="139">
        <f>(AQ96/$AQ$20 - 1) *100</f>
        <v>-9.478303476</v>
      </c>
      <c r="AV96" s="141" t="s">
        <v>83</v>
      </c>
      <c r="AW96" s="38"/>
      <c r="AX96" s="38"/>
    </row>
    <row r="97">
      <c r="A97" s="6"/>
      <c r="B97" s="6"/>
      <c r="C97" s="6"/>
      <c r="D97" s="6"/>
      <c r="E97" s="71" t="s">
        <v>36</v>
      </c>
      <c r="F97" s="141" t="s">
        <v>41</v>
      </c>
      <c r="G97" s="6"/>
      <c r="H97" s="6"/>
      <c r="I97" s="6"/>
      <c r="J97" s="111">
        <v>0.0592</v>
      </c>
      <c r="K97" s="110">
        <v>0.0052</v>
      </c>
      <c r="L97" s="107">
        <v>0.0037</v>
      </c>
      <c r="M97" s="112">
        <v>1.049</v>
      </c>
      <c r="N97" s="113">
        <v>0.525</v>
      </c>
      <c r="O97" s="107">
        <v>2.294</v>
      </c>
      <c r="P97" s="114">
        <v>1.13286262401577</v>
      </c>
      <c r="Q97" s="114">
        <v>4.21523521555288</v>
      </c>
      <c r="R97" s="115">
        <v>1.03884369</v>
      </c>
      <c r="S97" s="115">
        <v>1.03760592</v>
      </c>
      <c r="T97" s="116">
        <v>0.63183867</v>
      </c>
      <c r="U97" s="116">
        <v>0.60786337</v>
      </c>
      <c r="V97" s="114">
        <v>1.78125077898798</v>
      </c>
      <c r="W97" s="114">
        <v>6.45250825166636</v>
      </c>
      <c r="X97" s="115">
        <v>0.97814571</v>
      </c>
      <c r="Y97" s="115">
        <v>0.99665878</v>
      </c>
      <c r="Z97" s="116">
        <v>0.79653491</v>
      </c>
      <c r="AA97" s="116">
        <v>0.78333598</v>
      </c>
      <c r="AB97" s="114">
        <v>1.51515733385735</v>
      </c>
      <c r="AC97" s="114">
        <v>5.20069139234331</v>
      </c>
      <c r="AD97" s="115">
        <v>0.90919827</v>
      </c>
      <c r="AE97" s="115">
        <v>0.92277989</v>
      </c>
      <c r="AF97" s="116">
        <v>0.66597806</v>
      </c>
      <c r="AG97" s="116">
        <v>0.64599965</v>
      </c>
      <c r="AH97" s="114">
        <v>0.727822215680497</v>
      </c>
      <c r="AI97" s="114">
        <v>2.78849922075182</v>
      </c>
      <c r="AJ97" s="115">
        <v>0.95768119</v>
      </c>
      <c r="AK97" s="115">
        <v>0.96748609</v>
      </c>
      <c r="AL97" s="116">
        <v>0.6416275</v>
      </c>
      <c r="AM97" s="116">
        <v>0.6364917</v>
      </c>
      <c r="AN97" s="49">
        <f t="shared" si="20"/>
        <v>2.976753379</v>
      </c>
      <c r="AO97" s="50">
        <f t="shared" si="21"/>
        <v>0.9760499425</v>
      </c>
      <c r="AP97" s="76">
        <f t="shared" si="22"/>
        <v>55.9235423</v>
      </c>
      <c r="AQ97" s="75">
        <f t="shared" si="25"/>
        <v>0.67620873</v>
      </c>
      <c r="AR97" s="52">
        <f t="shared" si="26"/>
        <v>38.7439063</v>
      </c>
      <c r="AS97" s="139">
        <f>(AN97/$AN$56 - 1) *100</f>
        <v>-1.997450809</v>
      </c>
      <c r="AT97" s="140">
        <f>(AO97/$AO$56 - 1) *100</f>
        <v>-9.421992056</v>
      </c>
      <c r="AU97" s="139">
        <f>(AQ97/$AQ$56 - 1) *100</f>
        <v>-14.52367161</v>
      </c>
      <c r="AV97" s="6"/>
      <c r="AW97" s="38"/>
      <c r="AX97" s="38"/>
    </row>
    <row r="98">
      <c r="A98" s="6"/>
      <c r="B98" s="6"/>
      <c r="C98" s="6"/>
      <c r="D98" s="6"/>
      <c r="E98" s="71" t="s">
        <v>65</v>
      </c>
      <c r="F98" s="6"/>
      <c r="G98" s="6"/>
      <c r="H98" s="6"/>
      <c r="I98" s="6"/>
      <c r="J98" s="111">
        <v>0.0148</v>
      </c>
      <c r="K98" s="110">
        <v>0.0013</v>
      </c>
      <c r="L98" s="107">
        <v>0.0037</v>
      </c>
      <c r="M98" s="112">
        <v>0.262</v>
      </c>
      <c r="N98" s="113">
        <v>0.132</v>
      </c>
      <c r="O98" s="107">
        <v>0.573</v>
      </c>
      <c r="P98" s="114">
        <v>1.19741644352744</v>
      </c>
      <c r="Q98" s="114">
        <v>4.43680550835408</v>
      </c>
      <c r="R98" s="115">
        <v>1.37416001</v>
      </c>
      <c r="S98" s="115">
        <v>1.41289473</v>
      </c>
      <c r="T98" s="116">
        <v>0.88134148</v>
      </c>
      <c r="U98" s="116">
        <v>0.85333818</v>
      </c>
      <c r="V98" s="114">
        <v>1.77797200811153</v>
      </c>
      <c r="W98" s="114">
        <v>6.43635190491188</v>
      </c>
      <c r="X98" s="115">
        <v>1.22348695</v>
      </c>
      <c r="Y98" s="115">
        <v>1.26563968</v>
      </c>
      <c r="Z98" s="116">
        <v>1.00353042</v>
      </c>
      <c r="AA98" s="116">
        <v>1.03302836</v>
      </c>
      <c r="AB98" s="114">
        <v>1.55297689535799</v>
      </c>
      <c r="AC98" s="114">
        <v>5.22301677279829</v>
      </c>
      <c r="AD98" s="115">
        <v>1.15939584</v>
      </c>
      <c r="AE98" s="115">
        <v>1.19161687</v>
      </c>
      <c r="AF98" s="116">
        <v>0.76752382</v>
      </c>
      <c r="AG98" s="116">
        <v>0.77604398</v>
      </c>
      <c r="AH98" s="114">
        <v>0.753129707044867</v>
      </c>
      <c r="AI98" s="114">
        <v>2.83754559445687</v>
      </c>
      <c r="AJ98" s="115">
        <v>1.213466</v>
      </c>
      <c r="AK98" s="115">
        <v>1.23551224</v>
      </c>
      <c r="AL98" s="116">
        <v>0.84604891</v>
      </c>
      <c r="AM98" s="116">
        <v>0.87174119</v>
      </c>
      <c r="AN98" s="49">
        <f t="shared" si="20"/>
        <v>3.026901854</v>
      </c>
      <c r="AO98" s="50">
        <f t="shared" si="21"/>
        <v>1.25952154</v>
      </c>
      <c r="AP98" s="76">
        <f t="shared" si="22"/>
        <v>72.16526845</v>
      </c>
      <c r="AQ98" s="75">
        <f t="shared" si="25"/>
        <v>0.8790745425</v>
      </c>
      <c r="AR98" s="52">
        <f t="shared" si="26"/>
        <v>50.36726116</v>
      </c>
      <c r="AS98" s="139">
        <f>(AN98/$AN$55 - 1) *100</f>
        <v>-1.285380672</v>
      </c>
      <c r="AT98" s="140">
        <f>(AO98/$AO$55 - 1) *100</f>
        <v>-4.952776083</v>
      </c>
      <c r="AU98" s="139">
        <f>(AQ98/$AQ$55 - 1) *100</f>
        <v>-13.30282092</v>
      </c>
      <c r="AV98" s="6"/>
      <c r="AW98" s="38"/>
      <c r="AX98" s="38"/>
    </row>
    <row r="99">
      <c r="A99" s="15"/>
      <c r="B99" s="15"/>
      <c r="C99" s="15"/>
      <c r="D99" s="6"/>
      <c r="E99" s="71" t="s">
        <v>64</v>
      </c>
      <c r="F99" s="15"/>
      <c r="G99" s="15"/>
      <c r="H99" s="6"/>
      <c r="I99" s="6"/>
      <c r="J99" s="111">
        <v>0.0037</v>
      </c>
      <c r="K99" s="110">
        <v>3.0E-4</v>
      </c>
      <c r="L99" s="107">
        <v>0.0037</v>
      </c>
      <c r="M99" s="112">
        <v>0.066</v>
      </c>
      <c r="N99" s="113">
        <v>0.034</v>
      </c>
      <c r="O99" s="107">
        <v>0.143</v>
      </c>
      <c r="P99" s="114">
        <v>1.19351023620574</v>
      </c>
      <c r="Q99" s="114">
        <v>4.4036351667572</v>
      </c>
      <c r="R99" s="115">
        <v>1.47702238</v>
      </c>
      <c r="S99" s="115">
        <v>1.5001612</v>
      </c>
      <c r="T99" s="116">
        <v>1.26962054</v>
      </c>
      <c r="U99" s="116">
        <v>1.24650332</v>
      </c>
      <c r="V99" s="114">
        <v>1.74472977644582</v>
      </c>
      <c r="W99" s="114">
        <v>6.2954586737372</v>
      </c>
      <c r="X99" s="115">
        <v>1.36535793</v>
      </c>
      <c r="Y99" s="115">
        <v>1.42934026</v>
      </c>
      <c r="Z99" s="116">
        <v>1.23170655</v>
      </c>
      <c r="AA99" s="116">
        <v>1.29840469</v>
      </c>
      <c r="AB99" s="114">
        <v>1.56213999052621</v>
      </c>
      <c r="AC99" s="114">
        <v>5.25326907399755</v>
      </c>
      <c r="AD99" s="115">
        <v>1.35835126</v>
      </c>
      <c r="AE99" s="115">
        <v>1.3906215</v>
      </c>
      <c r="AF99" s="116">
        <v>1.06770759</v>
      </c>
      <c r="AG99" s="116">
        <v>1.0906724</v>
      </c>
      <c r="AH99" s="114">
        <v>0.758545741011238</v>
      </c>
      <c r="AI99" s="114">
        <v>2.81005670850957</v>
      </c>
      <c r="AJ99" s="115">
        <v>1.37827845</v>
      </c>
      <c r="AK99" s="115">
        <v>1.43696283</v>
      </c>
      <c r="AL99" s="116">
        <v>1.44365358</v>
      </c>
      <c r="AM99" s="116">
        <v>1.52174362</v>
      </c>
      <c r="AN99" s="49">
        <f t="shared" si="20"/>
        <v>3.002668171</v>
      </c>
      <c r="AO99" s="50">
        <f t="shared" si="21"/>
        <v>1.417011976</v>
      </c>
      <c r="AP99" s="76">
        <f t="shared" si="22"/>
        <v>81.18880576</v>
      </c>
      <c r="AQ99" s="75">
        <f t="shared" si="25"/>
        <v>1.271251536</v>
      </c>
      <c r="AR99" s="52">
        <f t="shared" si="26"/>
        <v>72.83734773</v>
      </c>
      <c r="AS99" s="139">
        <f>(AN99/$AN$54 - 1) *100</f>
        <v>-1.634263294</v>
      </c>
      <c r="AT99" s="140">
        <f>(AO99/$AO$54 - 1) *100</f>
        <v>-2.369335116</v>
      </c>
      <c r="AU99" s="139">
        <f>(AQ99/$AQ$54 - 1) *100</f>
        <v>1.629249101</v>
      </c>
      <c r="AV99" s="15"/>
      <c r="AW99" s="38"/>
      <c r="AX99" s="38"/>
    </row>
    <row r="100">
      <c r="A100" s="119" t="s">
        <v>51</v>
      </c>
      <c r="B100" s="159"/>
      <c r="C100" s="159" t="s">
        <v>36</v>
      </c>
      <c r="D100" s="6"/>
      <c r="E100" s="107" t="s">
        <v>38</v>
      </c>
      <c r="F100" s="109" t="s">
        <v>37</v>
      </c>
      <c r="G100" s="77">
        <v>4.0</v>
      </c>
      <c r="H100" s="6"/>
      <c r="I100" s="6"/>
      <c r="J100" s="111">
        <v>0.0619</v>
      </c>
      <c r="K100" s="110">
        <v>0.0105</v>
      </c>
      <c r="L100" s="107">
        <v>0.001</v>
      </c>
      <c r="M100" s="112">
        <v>2.097</v>
      </c>
      <c r="N100" s="113">
        <v>1.049</v>
      </c>
      <c r="O100" s="107">
        <v>4.719</v>
      </c>
      <c r="P100" s="114">
        <v>1.33921418220726</v>
      </c>
      <c r="Q100" s="114">
        <v>5.17162643181644</v>
      </c>
      <c r="R100" s="115">
        <v>1.32571536</v>
      </c>
      <c r="S100" s="115">
        <v>1.34621647</v>
      </c>
      <c r="T100" s="116">
        <v>1.14700136</v>
      </c>
      <c r="U100" s="116">
        <v>1.09284508</v>
      </c>
      <c r="V100" s="114">
        <v>2.16597745099013</v>
      </c>
      <c r="W100" s="114">
        <v>7.96547258664981</v>
      </c>
      <c r="X100" s="115">
        <v>1.42199236</v>
      </c>
      <c r="Y100" s="115">
        <v>1.4446953</v>
      </c>
      <c r="Z100" s="116">
        <v>1.40781577</v>
      </c>
      <c r="AA100" s="116">
        <v>1.39636015</v>
      </c>
      <c r="AB100" s="114">
        <v>1.91165288456868</v>
      </c>
      <c r="AC100" s="114">
        <v>6.97981274873421</v>
      </c>
      <c r="AD100" s="115">
        <v>1.30941202</v>
      </c>
      <c r="AE100" s="115">
        <v>1.31638477</v>
      </c>
      <c r="AF100" s="116">
        <v>1.26725723</v>
      </c>
      <c r="AG100" s="116">
        <v>1.23731399</v>
      </c>
      <c r="AH100" s="114">
        <v>0.836122194130326</v>
      </c>
      <c r="AI100" s="114">
        <v>3.24760815872976</v>
      </c>
      <c r="AJ100" s="115">
        <v>1.14207943</v>
      </c>
      <c r="AK100" s="115">
        <v>1.15736</v>
      </c>
      <c r="AL100" s="116">
        <v>0.58533878</v>
      </c>
      <c r="AM100" s="116">
        <v>0.58498456</v>
      </c>
      <c r="AN100" s="49">
        <f t="shared" si="20"/>
        <v>3.70218583</v>
      </c>
      <c r="AO100" s="50">
        <f t="shared" si="21"/>
        <v>1.307981964</v>
      </c>
      <c r="AP100" s="76">
        <f t="shared" si="22"/>
        <v>74.9418462</v>
      </c>
      <c r="AQ100" s="75">
        <f t="shared" si="25"/>
        <v>1.089864615</v>
      </c>
      <c r="AR100" s="52">
        <f t="shared" si="26"/>
        <v>62.44464268</v>
      </c>
      <c r="AS100" s="139">
        <f>(AN100/$AN$21 - 1) *100</f>
        <v>-0.5160402641</v>
      </c>
      <c r="AT100" s="140">
        <f>(AO100/$AO$21 - 1) *100</f>
        <v>-0.7966266495</v>
      </c>
      <c r="AU100" s="139">
        <f>(AQ100/$AQ$21 - 1) *100</f>
        <v>-9.160517978</v>
      </c>
      <c r="AV100" s="141" t="s">
        <v>81</v>
      </c>
      <c r="AW100" s="38"/>
      <c r="AX100" s="38"/>
    </row>
    <row r="101">
      <c r="A101" s="6"/>
      <c r="B101" s="6"/>
      <c r="C101" s="6"/>
      <c r="D101" s="6"/>
      <c r="E101" s="71" t="s">
        <v>36</v>
      </c>
      <c r="F101" s="141" t="s">
        <v>41</v>
      </c>
      <c r="G101" s="6"/>
      <c r="H101" s="6"/>
      <c r="I101" s="6"/>
      <c r="J101" s="111">
        <v>0.0155</v>
      </c>
      <c r="K101" s="110">
        <v>0.0026</v>
      </c>
      <c r="L101" s="107">
        <v>0.001</v>
      </c>
      <c r="M101" s="112">
        <v>0.524</v>
      </c>
      <c r="N101" s="113">
        <v>0.262</v>
      </c>
      <c r="O101" s="107">
        <v>1.18</v>
      </c>
      <c r="P101" s="114">
        <v>1.26634407009299</v>
      </c>
      <c r="Q101" s="114">
        <v>4.76517563971367</v>
      </c>
      <c r="R101" s="115">
        <v>1.38393561</v>
      </c>
      <c r="S101" s="115">
        <v>1.40674198</v>
      </c>
      <c r="T101" s="116">
        <v>1.27010116</v>
      </c>
      <c r="U101" s="116">
        <v>1.25431101</v>
      </c>
      <c r="V101" s="114">
        <v>1.93409723453403</v>
      </c>
      <c r="W101" s="114">
        <v>7.06594922912034</v>
      </c>
      <c r="X101" s="115">
        <v>1.45209511</v>
      </c>
      <c r="Y101" s="115">
        <v>1.47366286</v>
      </c>
      <c r="Z101" s="116">
        <v>1.41243228</v>
      </c>
      <c r="AA101" s="116">
        <v>1.41737583</v>
      </c>
      <c r="AB101" s="114">
        <v>1.68270203489733</v>
      </c>
      <c r="AC101" s="114">
        <v>5.86110926541362</v>
      </c>
      <c r="AD101" s="115">
        <v>1.31398744</v>
      </c>
      <c r="AE101" s="115">
        <v>1.32391679</v>
      </c>
      <c r="AF101" s="116">
        <v>1.31221042</v>
      </c>
      <c r="AG101" s="116">
        <v>1.30014924</v>
      </c>
      <c r="AH101" s="114">
        <v>0.761594565383299</v>
      </c>
      <c r="AI101" s="114">
        <v>2.96344643546028</v>
      </c>
      <c r="AJ101" s="115">
        <v>1.20323276</v>
      </c>
      <c r="AK101" s="115">
        <v>1.22533285</v>
      </c>
      <c r="AL101" s="116">
        <v>0.4784046</v>
      </c>
      <c r="AM101" s="116">
        <v>0.4745019</v>
      </c>
      <c r="AN101" s="49">
        <f t="shared" si="20"/>
        <v>3.287552309</v>
      </c>
      <c r="AO101" s="50">
        <f t="shared" si="21"/>
        <v>1.347863175</v>
      </c>
      <c r="AP101" s="76">
        <f t="shared" si="22"/>
        <v>77.22687129</v>
      </c>
      <c r="AQ101" s="75">
        <f t="shared" si="25"/>
        <v>1.114935805</v>
      </c>
      <c r="AR101" s="52">
        <f t="shared" si="26"/>
        <v>63.88111605</v>
      </c>
      <c r="AS101" s="139">
        <f>(AN101/$AN$53 - 1) *100</f>
        <v>-0.4876721116</v>
      </c>
      <c r="AT101" s="140">
        <f>(AO101/$AO$53 - 1) *100</f>
        <v>-0.3166682702</v>
      </c>
      <c r="AU101" s="139">
        <f>(AQ101/$AQ$53 - 1) *100</f>
        <v>-5.775701274</v>
      </c>
      <c r="AV101" s="6"/>
      <c r="AW101" s="38"/>
      <c r="AX101" s="38"/>
    </row>
    <row r="102">
      <c r="A102" s="6"/>
      <c r="B102" s="6"/>
      <c r="C102" s="6"/>
      <c r="D102" s="6"/>
      <c r="E102" s="71" t="s">
        <v>65</v>
      </c>
      <c r="F102" s="6"/>
      <c r="G102" s="6"/>
      <c r="H102" s="6"/>
      <c r="I102" s="6"/>
      <c r="J102" s="111">
        <v>0.0039</v>
      </c>
      <c r="K102" s="110">
        <v>7.0E-4</v>
      </c>
      <c r="L102" s="107">
        <v>0.001</v>
      </c>
      <c r="M102" s="112">
        <v>0.131</v>
      </c>
      <c r="N102" s="113">
        <v>0.066</v>
      </c>
      <c r="O102" s="107">
        <v>0.295</v>
      </c>
      <c r="P102" s="114">
        <v>1.27805751057874</v>
      </c>
      <c r="Q102" s="114">
        <v>4.76568006910634</v>
      </c>
      <c r="R102" s="115">
        <v>1.53677433</v>
      </c>
      <c r="S102" s="115">
        <v>1.56896102</v>
      </c>
      <c r="T102" s="116">
        <v>1.76079098</v>
      </c>
      <c r="U102" s="116">
        <v>1.75923382</v>
      </c>
      <c r="V102" s="114">
        <v>1.85812906807805</v>
      </c>
      <c r="W102" s="114">
        <v>6.74333607889519</v>
      </c>
      <c r="X102" s="115">
        <v>1.50070407</v>
      </c>
      <c r="Y102" s="115">
        <v>1.53349805</v>
      </c>
      <c r="Z102" s="116">
        <v>1.58501298</v>
      </c>
      <c r="AA102" s="116">
        <v>1.58308031</v>
      </c>
      <c r="AB102" s="114">
        <v>1.65049084845923</v>
      </c>
      <c r="AC102" s="114">
        <v>5.60475211434543</v>
      </c>
      <c r="AD102" s="115">
        <v>1.39691695</v>
      </c>
      <c r="AE102" s="115">
        <v>1.41812439</v>
      </c>
      <c r="AF102" s="116">
        <v>1.51679442</v>
      </c>
      <c r="AG102" s="116">
        <v>1.51361304</v>
      </c>
      <c r="AH102" s="114">
        <v>0.806989035315961</v>
      </c>
      <c r="AI102" s="114">
        <v>3.12604324987072</v>
      </c>
      <c r="AJ102" s="115">
        <v>1.43735978</v>
      </c>
      <c r="AK102" s="115">
        <v>1.48829351</v>
      </c>
      <c r="AL102" s="116">
        <v>0.86695109</v>
      </c>
      <c r="AM102" s="116">
        <v>0.94209186</v>
      </c>
      <c r="AN102" s="49">
        <f t="shared" si="20"/>
        <v>3.229184747</v>
      </c>
      <c r="AO102" s="50">
        <f t="shared" si="21"/>
        <v>1.485079013</v>
      </c>
      <c r="AP102" s="76">
        <f t="shared" si="22"/>
        <v>85.08875966</v>
      </c>
      <c r="AQ102" s="75">
        <f t="shared" si="25"/>
        <v>1.440946063</v>
      </c>
      <c r="AR102" s="52">
        <f t="shared" si="26"/>
        <v>82.56012789</v>
      </c>
      <c r="AS102" s="139">
        <f>(AN102/$AN$52 - 1) *100</f>
        <v>-0.08899437993</v>
      </c>
      <c r="AT102" s="142">
        <f>(AO102/$AO$52 - 1) *100</f>
        <v>1.422424489</v>
      </c>
      <c r="AU102" s="139">
        <f>(AQ102/$AQ$52 - 1) *100</f>
        <v>0.5937944627</v>
      </c>
      <c r="AV102" s="6"/>
      <c r="AW102" s="38"/>
      <c r="AX102" s="38"/>
    </row>
    <row r="103">
      <c r="A103" s="15"/>
      <c r="B103" s="15"/>
      <c r="C103" s="15"/>
      <c r="D103" s="15"/>
      <c r="E103" s="71" t="s">
        <v>64</v>
      </c>
      <c r="F103" s="15"/>
      <c r="G103" s="15"/>
      <c r="H103" s="15"/>
      <c r="I103" s="15"/>
      <c r="J103" s="111">
        <v>0.001</v>
      </c>
      <c r="K103" s="110">
        <v>2.0E-4</v>
      </c>
      <c r="L103" s="107">
        <v>0.001</v>
      </c>
      <c r="M103" s="112">
        <v>0.033</v>
      </c>
      <c r="N103" s="113">
        <v>0.017</v>
      </c>
      <c r="O103" s="107">
        <v>0.074</v>
      </c>
      <c r="P103" s="114">
        <v>1.28673966873292</v>
      </c>
      <c r="Q103" s="114">
        <v>4.79531035812766</v>
      </c>
      <c r="R103" s="115">
        <v>1.63670639</v>
      </c>
      <c r="S103" s="115">
        <v>1.66439662</v>
      </c>
      <c r="T103" s="116">
        <v>1.79291111</v>
      </c>
      <c r="U103" s="116">
        <v>1.79297297</v>
      </c>
      <c r="V103" s="114">
        <v>1.79085029277547</v>
      </c>
      <c r="W103" s="114">
        <v>6.45064731962269</v>
      </c>
      <c r="X103" s="115">
        <v>1.52010453</v>
      </c>
      <c r="Y103" s="115">
        <v>1.56310384</v>
      </c>
      <c r="Z103" s="116">
        <v>1.59250128</v>
      </c>
      <c r="AA103" s="116">
        <v>1.5963573</v>
      </c>
      <c r="AB103" s="114">
        <v>1.64016197877481</v>
      </c>
      <c r="AC103" s="114">
        <v>5.58348140865125</v>
      </c>
      <c r="AD103" s="115">
        <v>1.5134712</v>
      </c>
      <c r="AE103" s="115">
        <v>1.54616453</v>
      </c>
      <c r="AF103" s="116">
        <v>1.6137973</v>
      </c>
      <c r="AG103" s="116">
        <v>1.61011079</v>
      </c>
      <c r="AH103" s="114">
        <v>0.852786336297267</v>
      </c>
      <c r="AI103" s="114">
        <v>3.18236189721175</v>
      </c>
      <c r="AJ103" s="115">
        <v>1.61363464</v>
      </c>
      <c r="AK103" s="115">
        <v>1.66509098</v>
      </c>
      <c r="AL103" s="116">
        <v>1.40350154</v>
      </c>
      <c r="AM103" s="116">
        <v>1.49930407</v>
      </c>
      <c r="AN103" s="49">
        <f t="shared" si="20"/>
        <v>3.197792408</v>
      </c>
      <c r="AO103" s="50">
        <f t="shared" si="21"/>
        <v>1.590334091</v>
      </c>
      <c r="AP103" s="76">
        <f t="shared" si="22"/>
        <v>91.11943144</v>
      </c>
      <c r="AQ103" s="75">
        <f t="shared" si="25"/>
        <v>1.612682045</v>
      </c>
      <c r="AR103" s="52">
        <f t="shared" si="26"/>
        <v>92.39987488</v>
      </c>
      <c r="AS103" s="139">
        <f>(AN103/$AN$51 - 1) *100</f>
        <v>-0.7159319474</v>
      </c>
      <c r="AT103" s="142">
        <f>(AO103/$AO$51 - 1) *100</f>
        <v>2.490153934</v>
      </c>
      <c r="AU103" s="139">
        <f>(AQ103/$AQ$51 - 1) *100</f>
        <v>1.214988232</v>
      </c>
      <c r="AV103" s="15"/>
      <c r="AW103" s="38"/>
      <c r="AX103" s="38"/>
    </row>
    <row r="104" hidden="1">
      <c r="A104" s="20" t="s">
        <v>84</v>
      </c>
      <c r="B104" s="20" t="b">
        <v>1</v>
      </c>
      <c r="C104" s="21" t="s">
        <v>36</v>
      </c>
      <c r="D104" s="22" t="s">
        <v>37</v>
      </c>
      <c r="E104" s="160" t="s">
        <v>38</v>
      </c>
      <c r="F104" s="22" t="s">
        <v>37</v>
      </c>
      <c r="G104" s="160">
        <v>32.0</v>
      </c>
      <c r="H104" s="160" t="s">
        <v>39</v>
      </c>
      <c r="I104" s="160">
        <v>8.0</v>
      </c>
      <c r="J104" s="23">
        <v>4.8738</v>
      </c>
      <c r="K104" s="161">
        <v>0.1174</v>
      </c>
      <c r="L104" s="161">
        <v>0.2993</v>
      </c>
      <c r="M104" s="162">
        <v>75.497</v>
      </c>
      <c r="N104" s="163">
        <v>33.628</v>
      </c>
      <c r="O104" s="161">
        <v>193.987</v>
      </c>
      <c r="P104" s="24">
        <v>0.916451156602639</v>
      </c>
      <c r="Q104" s="24">
        <v>3.4743168963654</v>
      </c>
      <c r="R104" s="25">
        <v>0.368244089262951</v>
      </c>
      <c r="S104" s="25">
        <v>0.361791389199506</v>
      </c>
      <c r="T104" s="25"/>
      <c r="U104" s="25"/>
      <c r="V104" s="24">
        <v>1.70877597505369</v>
      </c>
      <c r="W104" s="24">
        <v>6.07214512086672</v>
      </c>
      <c r="X104" s="25">
        <v>0.49142701612407</v>
      </c>
      <c r="Y104" s="25">
        <v>0.464154957704742</v>
      </c>
      <c r="Z104" s="25"/>
      <c r="AA104" s="25"/>
      <c r="AB104" s="24">
        <v>1.45161286214225</v>
      </c>
      <c r="AC104" s="24">
        <v>5.09554817911581</v>
      </c>
      <c r="AD104" s="25">
        <v>0.44079943288758</v>
      </c>
      <c r="AE104" s="25">
        <v>0.412208732427016</v>
      </c>
      <c r="AF104" s="25"/>
      <c r="AG104" s="25"/>
      <c r="AH104" s="24">
        <v>0.530560036827847</v>
      </c>
      <c r="AI104" s="24">
        <v>2.00491853543374</v>
      </c>
      <c r="AJ104" s="25">
        <v>0.336678066474086</v>
      </c>
      <c r="AK104" s="25">
        <v>0.335826102934788</v>
      </c>
      <c r="AL104" s="25"/>
      <c r="AM104" s="25"/>
      <c r="AN104" s="26">
        <f t="shared" si="20"/>
        <v>2.656791095</v>
      </c>
      <c r="AO104" s="27">
        <f t="shared" si="21"/>
        <v>0.4013912234</v>
      </c>
      <c r="AP104" s="27">
        <f t="shared" si="22"/>
        <v>22.99802303</v>
      </c>
      <c r="AQ104" s="164"/>
      <c r="AR104" s="164"/>
      <c r="AS104" s="8"/>
      <c r="AT104" s="8"/>
      <c r="AU104" s="8"/>
      <c r="AV104" s="8"/>
      <c r="AW104" s="8"/>
      <c r="AX104" s="165"/>
    </row>
    <row r="105" hidden="1">
      <c r="A105" s="166" t="s">
        <v>85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4"/>
    </row>
    <row r="106" hidden="1">
      <c r="A106" s="19" t="s">
        <v>86</v>
      </c>
      <c r="B106" s="167" t="b">
        <v>1</v>
      </c>
      <c r="C106" s="21" t="s">
        <v>36</v>
      </c>
      <c r="D106" s="168" t="s">
        <v>37</v>
      </c>
      <c r="E106" s="168" t="s">
        <v>38</v>
      </c>
      <c r="F106" s="169" t="s">
        <v>37</v>
      </c>
      <c r="G106" s="170">
        <v>16.0</v>
      </c>
      <c r="H106" s="168" t="s">
        <v>39</v>
      </c>
      <c r="I106" s="168">
        <v>8.0</v>
      </c>
      <c r="J106" s="171">
        <v>1.2289</v>
      </c>
      <c r="K106" s="172">
        <v>0.0587</v>
      </c>
      <c r="L106" s="172">
        <v>0.0759</v>
      </c>
      <c r="M106" s="173">
        <v>37.749</v>
      </c>
      <c r="N106" s="174">
        <v>16.796</v>
      </c>
      <c r="O106" s="172">
        <v>97.518</v>
      </c>
      <c r="P106" s="175">
        <v>1.06526998500603</v>
      </c>
      <c r="Q106" s="175">
        <v>4.09174758365823</v>
      </c>
      <c r="R106" s="176">
        <v>0.483702462603054</v>
      </c>
      <c r="S106" s="177">
        <v>0.480953799503362</v>
      </c>
      <c r="T106" s="177"/>
      <c r="U106" s="177"/>
      <c r="V106" s="175">
        <v>1.79731572037227</v>
      </c>
      <c r="W106" s="175">
        <v>6.45017530372041</v>
      </c>
      <c r="X106" s="177">
        <v>0.578271492629807</v>
      </c>
      <c r="Y106" s="177">
        <v>0.546265657272729</v>
      </c>
      <c r="Z106" s="177"/>
      <c r="AA106" s="177"/>
      <c r="AB106" s="175">
        <v>1.5439441590266</v>
      </c>
      <c r="AC106" s="175">
        <v>5.48353654033879</v>
      </c>
      <c r="AD106" s="177">
        <v>0.550730871019011</v>
      </c>
      <c r="AE106" s="177">
        <v>0.529501908796686</v>
      </c>
      <c r="AF106" s="177"/>
      <c r="AG106" s="177"/>
      <c r="AH106" s="175">
        <v>0.6523616702264</v>
      </c>
      <c r="AI106" s="175">
        <v>2.49448501698499</v>
      </c>
      <c r="AJ106" s="177">
        <v>0.522856731480885</v>
      </c>
      <c r="AK106" s="177">
        <v>0.532414461312188</v>
      </c>
      <c r="AL106" s="177"/>
      <c r="AM106" s="177"/>
      <c r="AN106" s="26">
        <f t="shared" ref="AN106:AN111" si="28">AVERAGE(P106,Q106,V106,W106,AB106,AC106,AH106,AI106)</f>
        <v>2.947354497</v>
      </c>
      <c r="AO106" s="27">
        <f t="shared" ref="AO106:AO111" si="29">AVERAGE(R106,S106,X106,AD106,AE106,Y106,AJ106,AK106)</f>
        <v>0.5280871731</v>
      </c>
      <c r="AP106" s="27">
        <f t="shared" ref="AP106:AP111" si="30">AO106 * (180/PI())</f>
        <v>30.25716623</v>
      </c>
      <c r="AQ106" s="164"/>
      <c r="AR106" s="164"/>
      <c r="AS106" s="38"/>
      <c r="AT106" s="38"/>
      <c r="AU106" s="38"/>
      <c r="AV106" s="38"/>
      <c r="AW106" s="38"/>
      <c r="AX106" s="178"/>
    </row>
    <row r="107" hidden="1">
      <c r="A107" s="6"/>
      <c r="B107" s="167" t="b">
        <v>1</v>
      </c>
      <c r="C107" s="21" t="s">
        <v>36</v>
      </c>
      <c r="D107" s="168" t="s">
        <v>37</v>
      </c>
      <c r="E107" s="168" t="s">
        <v>38</v>
      </c>
      <c r="F107" s="169" t="s">
        <v>37</v>
      </c>
      <c r="G107" s="179">
        <v>8.0</v>
      </c>
      <c r="H107" s="168" t="s">
        <v>39</v>
      </c>
      <c r="I107" s="168">
        <v>8.0</v>
      </c>
      <c r="J107" s="171">
        <v>0.3125</v>
      </c>
      <c r="K107" s="172">
        <v>0.0294</v>
      </c>
      <c r="L107" s="172">
        <v>0.0195</v>
      </c>
      <c r="M107" s="173">
        <v>18.874</v>
      </c>
      <c r="N107" s="174">
        <v>8.393</v>
      </c>
      <c r="O107" s="172">
        <v>49.283</v>
      </c>
      <c r="P107" s="175">
        <v>1.14061502003161</v>
      </c>
      <c r="Q107" s="175">
        <v>4.37472135311802</v>
      </c>
      <c r="R107" s="176">
        <v>0.670396332809216</v>
      </c>
      <c r="S107" s="177">
        <v>0.670049692493057</v>
      </c>
      <c r="T107" s="177"/>
      <c r="U107" s="177"/>
      <c r="V107" s="175">
        <v>1.95516423432123</v>
      </c>
      <c r="W107" s="175">
        <v>7.08791696398621</v>
      </c>
      <c r="X107" s="177">
        <v>0.829891093973343</v>
      </c>
      <c r="Y107" s="177">
        <v>0.801569807306236</v>
      </c>
      <c r="Z107" s="177"/>
      <c r="AA107" s="177"/>
      <c r="AB107" s="175">
        <v>1.69332583399305</v>
      </c>
      <c r="AC107" s="175">
        <v>6.08731814261774</v>
      </c>
      <c r="AD107" s="177">
        <v>0.780500960376487</v>
      </c>
      <c r="AE107" s="177">
        <v>0.757829415421297</v>
      </c>
      <c r="AF107" s="177"/>
      <c r="AG107" s="177"/>
      <c r="AH107" s="175">
        <v>0.731022346413025</v>
      </c>
      <c r="AI107" s="175">
        <v>2.83258855888173</v>
      </c>
      <c r="AJ107" s="177">
        <v>0.637303879023816</v>
      </c>
      <c r="AK107" s="177">
        <v>0.663019555723173</v>
      </c>
      <c r="AL107" s="177"/>
      <c r="AM107" s="177"/>
      <c r="AN107" s="26">
        <f t="shared" si="28"/>
        <v>3.237834057</v>
      </c>
      <c r="AO107" s="27">
        <f t="shared" si="29"/>
        <v>0.7263200921</v>
      </c>
      <c r="AP107" s="27">
        <f t="shared" si="30"/>
        <v>41.61507586</v>
      </c>
      <c r="AQ107" s="164"/>
      <c r="AR107" s="164"/>
      <c r="AS107" s="38"/>
      <c r="AT107" s="38"/>
      <c r="AU107" s="38"/>
      <c r="AV107" s="38"/>
      <c r="AW107" s="38"/>
      <c r="AX107" s="178"/>
    </row>
    <row r="108" hidden="1">
      <c r="A108" s="15"/>
      <c r="B108" s="167" t="b">
        <v>1</v>
      </c>
      <c r="C108" s="21" t="s">
        <v>36</v>
      </c>
      <c r="D108" s="168" t="s">
        <v>37</v>
      </c>
      <c r="E108" s="168" t="s">
        <v>38</v>
      </c>
      <c r="F108" s="169" t="s">
        <v>37</v>
      </c>
      <c r="G108" s="179">
        <v>4.0</v>
      </c>
      <c r="H108" s="168" t="s">
        <v>39</v>
      </c>
      <c r="I108" s="168">
        <v>8.0</v>
      </c>
      <c r="J108" s="171">
        <v>0.0807</v>
      </c>
      <c r="K108" s="172">
        <v>0.0147</v>
      </c>
      <c r="L108" s="180">
        <v>0.0052</v>
      </c>
      <c r="M108" s="173">
        <v>9.437</v>
      </c>
      <c r="N108" s="174">
        <v>4.195</v>
      </c>
      <c r="O108" s="172">
        <v>25.166</v>
      </c>
      <c r="P108" s="175">
        <v>1.32282985205252</v>
      </c>
      <c r="Q108" s="175">
        <v>5.11537605501191</v>
      </c>
      <c r="R108" s="176">
        <v>1.20559146814216</v>
      </c>
      <c r="S108" s="177">
        <v>1.22021074284025</v>
      </c>
      <c r="T108" s="177"/>
      <c r="U108" s="177"/>
      <c r="V108" s="175">
        <v>2.1480728070776</v>
      </c>
      <c r="W108" s="175">
        <v>7.87817711930833</v>
      </c>
      <c r="X108" s="177">
        <v>1.28880638732226</v>
      </c>
      <c r="Y108" s="177">
        <v>1.3019915795165</v>
      </c>
      <c r="Z108" s="177"/>
      <c r="AA108" s="177"/>
      <c r="AB108" s="175">
        <v>1.88816106645062</v>
      </c>
      <c r="AC108" s="175">
        <v>6.8791428989724</v>
      </c>
      <c r="AD108" s="177">
        <v>1.20058290855784</v>
      </c>
      <c r="AE108" s="177">
        <v>1.18967363682809</v>
      </c>
      <c r="AF108" s="177"/>
      <c r="AG108" s="177"/>
      <c r="AH108" s="175">
        <v>0.89065225183987</v>
      </c>
      <c r="AI108" s="175">
        <v>3.47013886356633</v>
      </c>
      <c r="AJ108" s="177">
        <v>1.10774605269053</v>
      </c>
      <c r="AK108" s="177">
        <v>1.15030663277454</v>
      </c>
      <c r="AL108" s="177"/>
      <c r="AM108" s="177"/>
      <c r="AN108" s="26">
        <f t="shared" si="28"/>
        <v>3.699068864</v>
      </c>
      <c r="AO108" s="27">
        <f t="shared" si="29"/>
        <v>1.208113676</v>
      </c>
      <c r="AP108" s="27">
        <f t="shared" si="30"/>
        <v>69.21981481</v>
      </c>
      <c r="AQ108" s="164"/>
      <c r="AR108" s="164"/>
      <c r="AS108" s="38"/>
      <c r="AT108" s="38"/>
      <c r="AU108" s="38"/>
      <c r="AV108" s="38"/>
      <c r="AW108" s="38"/>
      <c r="AX108" s="178"/>
    </row>
    <row r="109" hidden="1">
      <c r="A109" s="19" t="s">
        <v>84</v>
      </c>
      <c r="B109" s="167" t="b">
        <v>1</v>
      </c>
      <c r="C109" s="21" t="s">
        <v>36</v>
      </c>
      <c r="D109" s="168" t="s">
        <v>37</v>
      </c>
      <c r="E109" s="168" t="s">
        <v>38</v>
      </c>
      <c r="F109" s="169" t="s">
        <v>37</v>
      </c>
      <c r="G109" s="170">
        <v>16.0</v>
      </c>
      <c r="H109" s="168" t="s">
        <v>39</v>
      </c>
      <c r="I109" s="168">
        <v>8.0</v>
      </c>
      <c r="J109" s="171">
        <v>1.2289</v>
      </c>
      <c r="K109" s="172">
        <v>0.0587</v>
      </c>
      <c r="L109" s="172">
        <v>0.0759</v>
      </c>
      <c r="M109" s="173">
        <v>37.749</v>
      </c>
      <c r="N109" s="174">
        <v>16.796</v>
      </c>
      <c r="O109" s="172">
        <v>97.518</v>
      </c>
      <c r="P109" s="175">
        <v>1.02714090665777</v>
      </c>
      <c r="Q109" s="175">
        <v>3.9257841046519</v>
      </c>
      <c r="R109" s="176">
        <v>0.479887337963266</v>
      </c>
      <c r="S109" s="177">
        <v>0.480941791064881</v>
      </c>
      <c r="T109" s="177"/>
      <c r="U109" s="177"/>
      <c r="V109" s="175">
        <v>1.86396804822819</v>
      </c>
      <c r="W109" s="175">
        <v>6.70728283373796</v>
      </c>
      <c r="X109" s="177">
        <v>0.673839477572432</v>
      </c>
      <c r="Y109" s="177">
        <v>0.636394346081426</v>
      </c>
      <c r="Z109" s="177"/>
      <c r="AA109" s="177"/>
      <c r="AB109" s="175">
        <v>1.6120856707455</v>
      </c>
      <c r="AC109" s="175">
        <v>5.73363758016811</v>
      </c>
      <c r="AD109" s="177">
        <v>0.625767746164617</v>
      </c>
      <c r="AE109" s="177">
        <v>0.593024376628932</v>
      </c>
      <c r="AF109" s="177"/>
      <c r="AG109" s="177"/>
      <c r="AH109" s="175">
        <v>0.58586927314474</v>
      </c>
      <c r="AI109" s="175">
        <v>2.19674848487084</v>
      </c>
      <c r="AJ109" s="177">
        <v>0.42137822049241</v>
      </c>
      <c r="AK109" s="177">
        <v>0.411082393483387</v>
      </c>
      <c r="AL109" s="177"/>
      <c r="AM109" s="177"/>
      <c r="AN109" s="26">
        <f t="shared" si="28"/>
        <v>2.956564613</v>
      </c>
      <c r="AO109" s="27">
        <f t="shared" si="29"/>
        <v>0.5402894612</v>
      </c>
      <c r="AP109" s="27">
        <f t="shared" si="30"/>
        <v>30.95630584</v>
      </c>
      <c r="AQ109" s="164"/>
      <c r="AR109" s="164"/>
      <c r="AS109" s="38"/>
      <c r="AT109" s="38"/>
      <c r="AU109" s="38"/>
      <c r="AV109" s="38"/>
      <c r="AW109" s="38"/>
      <c r="AX109" s="178"/>
    </row>
    <row r="110" hidden="1">
      <c r="A110" s="6"/>
      <c r="B110" s="167" t="b">
        <v>1</v>
      </c>
      <c r="C110" s="21" t="s">
        <v>36</v>
      </c>
      <c r="D110" s="168" t="s">
        <v>37</v>
      </c>
      <c r="E110" s="168" t="s">
        <v>38</v>
      </c>
      <c r="F110" s="169" t="s">
        <v>37</v>
      </c>
      <c r="G110" s="179">
        <v>8.0</v>
      </c>
      <c r="H110" s="168" t="s">
        <v>39</v>
      </c>
      <c r="I110" s="168">
        <v>8.0</v>
      </c>
      <c r="J110" s="171">
        <v>0.3125</v>
      </c>
      <c r="K110" s="172">
        <v>0.0294</v>
      </c>
      <c r="L110" s="172">
        <v>0.0195</v>
      </c>
      <c r="M110" s="173">
        <v>18.874</v>
      </c>
      <c r="N110" s="174">
        <v>8.393</v>
      </c>
      <c r="O110" s="172">
        <v>49.283</v>
      </c>
      <c r="P110" s="175">
        <v>1.04077347263925</v>
      </c>
      <c r="Q110" s="175">
        <v>3.97475573179078</v>
      </c>
      <c r="R110" s="176">
        <v>0.485865452197996</v>
      </c>
      <c r="S110" s="177">
        <v>0.479196493193418</v>
      </c>
      <c r="T110" s="177"/>
      <c r="U110" s="177"/>
      <c r="V110" s="175">
        <v>1.87512967113974</v>
      </c>
      <c r="W110" s="175">
        <v>6.75651800539147</v>
      </c>
      <c r="X110" s="177">
        <v>0.702356308866393</v>
      </c>
      <c r="Y110" s="177">
        <v>0.685953797962833</v>
      </c>
      <c r="Z110" s="177"/>
      <c r="AA110" s="177"/>
      <c r="AB110" s="175">
        <v>1.60613574930123</v>
      </c>
      <c r="AC110" s="175">
        <v>5.72012155953749</v>
      </c>
      <c r="AD110" s="177">
        <v>0.593405298141468</v>
      </c>
      <c r="AE110" s="177">
        <v>0.569806946709014</v>
      </c>
      <c r="AF110" s="177"/>
      <c r="AG110" s="177"/>
      <c r="AH110" s="175">
        <v>0.655736118890264</v>
      </c>
      <c r="AI110" s="175">
        <v>2.52720117083556</v>
      </c>
      <c r="AJ110" s="177">
        <v>0.443677222048998</v>
      </c>
      <c r="AK110" s="177">
        <v>0.447451667370578</v>
      </c>
      <c r="AL110" s="177"/>
      <c r="AM110" s="177"/>
      <c r="AN110" s="26">
        <f t="shared" si="28"/>
        <v>3.019546435</v>
      </c>
      <c r="AO110" s="27">
        <f t="shared" si="29"/>
        <v>0.5509641483</v>
      </c>
      <c r="AP110" s="27">
        <f t="shared" si="30"/>
        <v>31.56792036</v>
      </c>
      <c r="AQ110" s="164"/>
      <c r="AR110" s="164"/>
      <c r="AS110" s="38"/>
      <c r="AT110" s="38"/>
      <c r="AU110" s="38"/>
      <c r="AV110" s="38"/>
      <c r="AW110" s="38"/>
      <c r="AX110" s="178"/>
    </row>
    <row r="111" hidden="1">
      <c r="A111" s="15"/>
      <c r="B111" s="167" t="b">
        <v>1</v>
      </c>
      <c r="C111" s="21" t="s">
        <v>36</v>
      </c>
      <c r="D111" s="168" t="s">
        <v>37</v>
      </c>
      <c r="E111" s="168" t="s">
        <v>38</v>
      </c>
      <c r="F111" s="169" t="s">
        <v>37</v>
      </c>
      <c r="G111" s="179">
        <v>4.0</v>
      </c>
      <c r="H111" s="168" t="s">
        <v>39</v>
      </c>
      <c r="I111" s="168">
        <v>8.0</v>
      </c>
      <c r="J111" s="171">
        <v>0.0807</v>
      </c>
      <c r="K111" s="172">
        <v>0.0147</v>
      </c>
      <c r="L111" s="180">
        <v>0.0052</v>
      </c>
      <c r="M111" s="173">
        <v>9.437</v>
      </c>
      <c r="N111" s="174">
        <v>4.195</v>
      </c>
      <c r="O111" s="172">
        <v>25.166</v>
      </c>
      <c r="P111" s="175">
        <v>1.30237352123106</v>
      </c>
      <c r="Q111" s="175">
        <v>5.02074721452199</v>
      </c>
      <c r="R111" s="176">
        <v>1.12030270764163</v>
      </c>
      <c r="S111" s="177">
        <v>1.11994805342818</v>
      </c>
      <c r="T111" s="177"/>
      <c r="U111" s="177"/>
      <c r="V111" s="175">
        <v>2.17761175332984</v>
      </c>
      <c r="W111" s="175">
        <v>8.00426672496493</v>
      </c>
      <c r="X111" s="177">
        <v>1.29847952347149</v>
      </c>
      <c r="Y111" s="177">
        <v>1.2919328150698</v>
      </c>
      <c r="Z111" s="177"/>
      <c r="AA111" s="177"/>
      <c r="AB111" s="175">
        <v>1.92271330316585</v>
      </c>
      <c r="AC111" s="175">
        <v>7.01944528301152</v>
      </c>
      <c r="AD111" s="177">
        <v>1.28128607643845</v>
      </c>
      <c r="AE111" s="177">
        <v>1.27449018427416</v>
      </c>
      <c r="AF111" s="177"/>
      <c r="AG111" s="177"/>
      <c r="AH111" s="175">
        <v>0.856061190296388</v>
      </c>
      <c r="AI111" s="175">
        <v>3.26095043699618</v>
      </c>
      <c r="AJ111" s="177">
        <v>1.0493548294161</v>
      </c>
      <c r="AK111" s="177">
        <v>1.03931468537136</v>
      </c>
      <c r="AL111" s="177"/>
      <c r="AM111" s="177"/>
      <c r="AN111" s="26">
        <f t="shared" si="28"/>
        <v>3.695521178</v>
      </c>
      <c r="AO111" s="27">
        <f t="shared" si="29"/>
        <v>1.184388609</v>
      </c>
      <c r="AP111" s="27">
        <f t="shared" si="30"/>
        <v>67.86046862</v>
      </c>
      <c r="AQ111" s="164"/>
      <c r="AR111" s="164"/>
      <c r="AS111" s="38"/>
      <c r="AT111" s="38"/>
      <c r="AU111" s="38"/>
      <c r="AV111" s="38"/>
      <c r="AW111" s="38"/>
      <c r="AX111" s="178"/>
    </row>
    <row r="112" hidden="1">
      <c r="A112" s="166" t="s">
        <v>87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4"/>
    </row>
    <row r="113" hidden="1">
      <c r="A113" s="19" t="s">
        <v>84</v>
      </c>
      <c r="B113" s="20" t="b">
        <v>1</v>
      </c>
      <c r="C113" s="21" t="s">
        <v>36</v>
      </c>
      <c r="D113" s="160" t="s">
        <v>37</v>
      </c>
      <c r="E113" s="179" t="s">
        <v>40</v>
      </c>
      <c r="F113" s="22" t="s">
        <v>41</v>
      </c>
      <c r="G113" s="160">
        <v>32.0</v>
      </c>
      <c r="H113" s="160" t="s">
        <v>39</v>
      </c>
      <c r="I113" s="160">
        <v>8.0</v>
      </c>
      <c r="J113" s="23">
        <v>1.9038</v>
      </c>
      <c r="K113" s="161">
        <v>0.0459</v>
      </c>
      <c r="L113" s="161">
        <v>0.2993</v>
      </c>
      <c r="M113" s="181">
        <v>29.491</v>
      </c>
      <c r="N113" s="163">
        <v>13.181</v>
      </c>
      <c r="O113" s="161">
        <v>75.776</v>
      </c>
      <c r="P113" s="24">
        <v>0.800753245740637</v>
      </c>
      <c r="Q113" s="24">
        <v>3.1153138097942</v>
      </c>
      <c r="R113" s="25">
        <v>0.387061351250655</v>
      </c>
      <c r="S113" s="25">
        <v>0.357802300690878</v>
      </c>
      <c r="T113" s="25"/>
      <c r="U113" s="25"/>
      <c r="V113" s="24">
        <v>1.46960033488178</v>
      </c>
      <c r="W113" s="24">
        <v>5.5334174325878</v>
      </c>
      <c r="X113" s="25">
        <v>0.470599937426983</v>
      </c>
      <c r="Y113" s="25">
        <v>0.460602644099405</v>
      </c>
      <c r="Z113" s="25"/>
      <c r="AA113" s="25"/>
      <c r="AB113" s="24">
        <v>1.21291015294287</v>
      </c>
      <c r="AC113" s="24">
        <v>4.55182245570511</v>
      </c>
      <c r="AD113" s="25">
        <v>0.402221072404807</v>
      </c>
      <c r="AE113" s="25">
        <v>0.391045239101757</v>
      </c>
      <c r="AF113" s="25"/>
      <c r="AG113" s="25"/>
      <c r="AH113" s="24">
        <v>0.432983810165693</v>
      </c>
      <c r="AI113" s="24">
        <v>1.73563235375925</v>
      </c>
      <c r="AJ113" s="25">
        <v>0.494102318787298</v>
      </c>
      <c r="AK113" s="25">
        <v>0.490634611920889</v>
      </c>
      <c r="AL113" s="25"/>
      <c r="AM113" s="25"/>
      <c r="AN113" s="26">
        <f t="shared" ref="AN113:AN123" si="31">AVERAGE(P113,Q113,V113,W113,AB113,AC113,AH113,AI113)</f>
        <v>2.356554199</v>
      </c>
      <c r="AO113" s="27">
        <f t="shared" ref="AO113:AO123" si="32">AVERAGE(R113,S113,X113,AD113,AE113,Y113,AJ113,AK113)</f>
        <v>0.4317586845</v>
      </c>
      <c r="AP113" s="27">
        <f t="shared" ref="AP113:AP123" si="33">AO113 * (180/PI())</f>
        <v>24.73795039</v>
      </c>
      <c r="AQ113" s="164"/>
      <c r="AR113" s="164"/>
      <c r="AS113" s="182"/>
      <c r="AT113" s="182"/>
      <c r="AU113" s="182"/>
      <c r="AV113" s="182"/>
      <c r="AW113" s="182"/>
      <c r="AX113" s="183"/>
    </row>
    <row r="114" hidden="1">
      <c r="A114" s="6"/>
      <c r="B114" s="20" t="b">
        <v>1</v>
      </c>
      <c r="C114" s="21" t="s">
        <v>36</v>
      </c>
      <c r="D114" s="160" t="s">
        <v>37</v>
      </c>
      <c r="E114" s="184" t="s">
        <v>40</v>
      </c>
      <c r="F114" s="22" t="s">
        <v>88</v>
      </c>
      <c r="G114" s="160">
        <v>32.0</v>
      </c>
      <c r="H114" s="160" t="s">
        <v>39</v>
      </c>
      <c r="I114" s="160">
        <v>8.0</v>
      </c>
      <c r="J114" s="23">
        <v>4.8738</v>
      </c>
      <c r="K114" s="161">
        <v>0.1174</v>
      </c>
      <c r="L114" s="161">
        <v>0.2993</v>
      </c>
      <c r="M114" s="181">
        <v>75.497</v>
      </c>
      <c r="N114" s="163">
        <v>33.628</v>
      </c>
      <c r="O114" s="161">
        <v>193.987</v>
      </c>
      <c r="P114" s="24">
        <v>0.788203293585625</v>
      </c>
      <c r="Q114" s="24">
        <v>3.06095101653997</v>
      </c>
      <c r="R114" s="25">
        <v>0.37397606415836</v>
      </c>
      <c r="S114" s="25">
        <v>0.347785859614235</v>
      </c>
      <c r="T114" s="25"/>
      <c r="U114" s="25"/>
      <c r="V114" s="24">
        <v>1.44982578375315</v>
      </c>
      <c r="W114" s="24">
        <v>5.47003620145608</v>
      </c>
      <c r="X114" s="25">
        <v>0.44830644427984</v>
      </c>
      <c r="Y114" s="25">
        <v>0.440117129973747</v>
      </c>
      <c r="Z114" s="25"/>
      <c r="AA114" s="25"/>
      <c r="AB114" s="24">
        <v>1.19632618167153</v>
      </c>
      <c r="AC114" s="24">
        <v>4.48883398300294</v>
      </c>
      <c r="AD114" s="25">
        <v>0.388270094406711</v>
      </c>
      <c r="AE114" s="25">
        <v>0.382760021656314</v>
      </c>
      <c r="AF114" s="25"/>
      <c r="AG114" s="25"/>
      <c r="AH114" s="24">
        <v>0.424640627519488</v>
      </c>
      <c r="AI114" s="24">
        <v>1.70559775222317</v>
      </c>
      <c r="AJ114" s="25">
        <v>0.474361138490584</v>
      </c>
      <c r="AK114" s="25">
        <v>0.471892340765258</v>
      </c>
      <c r="AL114" s="25"/>
      <c r="AM114" s="25"/>
      <c r="AN114" s="26">
        <f t="shared" si="31"/>
        <v>2.323051855</v>
      </c>
      <c r="AO114" s="27">
        <f t="shared" si="32"/>
        <v>0.4159336367</v>
      </c>
      <c r="AP114" s="27">
        <f t="shared" si="33"/>
        <v>23.83124194</v>
      </c>
      <c r="AQ114" s="164"/>
      <c r="AR114" s="164"/>
      <c r="AS114" s="132"/>
      <c r="AT114" s="132"/>
      <c r="AU114" s="132"/>
      <c r="AV114" s="132"/>
      <c r="AW114" s="132"/>
      <c r="AX114" s="185"/>
    </row>
    <row r="115" hidden="1">
      <c r="A115" s="6"/>
      <c r="B115" s="167" t="b">
        <v>1</v>
      </c>
      <c r="C115" s="21" t="s">
        <v>36</v>
      </c>
      <c r="D115" s="160" t="s">
        <v>37</v>
      </c>
      <c r="E115" s="179" t="s">
        <v>36</v>
      </c>
      <c r="F115" s="22" t="s">
        <v>41</v>
      </c>
      <c r="G115" s="169">
        <v>32.0</v>
      </c>
      <c r="H115" s="168" t="s">
        <v>39</v>
      </c>
      <c r="I115" s="169">
        <v>8.0</v>
      </c>
      <c r="J115" s="171">
        <v>1.2184</v>
      </c>
      <c r="K115" s="172">
        <v>0.0294</v>
      </c>
      <c r="L115" s="172">
        <v>0.2993</v>
      </c>
      <c r="M115" s="173">
        <v>18.874</v>
      </c>
      <c r="N115" s="174">
        <v>8.463</v>
      </c>
      <c r="O115" s="172">
        <v>48.497</v>
      </c>
      <c r="P115" s="175">
        <v>0.785341534080759</v>
      </c>
      <c r="Q115" s="175">
        <v>3.0767039799168</v>
      </c>
      <c r="R115" s="177">
        <v>0.40495124629781</v>
      </c>
      <c r="S115" s="177">
        <v>0.369946078319618</v>
      </c>
      <c r="T115" s="177"/>
      <c r="U115" s="177"/>
      <c r="V115" s="175">
        <v>1.40564382373364</v>
      </c>
      <c r="W115" s="175">
        <v>5.38122337154603</v>
      </c>
      <c r="X115" s="177">
        <v>0.467819622677379</v>
      </c>
      <c r="Y115" s="177">
        <v>0.465396991100091</v>
      </c>
      <c r="Z115" s="177"/>
      <c r="AA115" s="177"/>
      <c r="AB115" s="175">
        <v>1.145786876485</v>
      </c>
      <c r="AC115" s="175">
        <v>4.39183286497269</v>
      </c>
      <c r="AD115" s="177">
        <v>0.390690498852995</v>
      </c>
      <c r="AE115" s="177">
        <v>0.356521206519588</v>
      </c>
      <c r="AF115" s="177"/>
      <c r="AG115" s="177"/>
      <c r="AH115" s="175">
        <v>0.430794460451952</v>
      </c>
      <c r="AI115" s="175">
        <v>1.71389576409106</v>
      </c>
      <c r="AJ115" s="177">
        <v>0.594523185847491</v>
      </c>
      <c r="AK115" s="177">
        <v>0.614305941043106</v>
      </c>
      <c r="AL115" s="177"/>
      <c r="AM115" s="177"/>
      <c r="AN115" s="26">
        <f t="shared" si="31"/>
        <v>2.291402834</v>
      </c>
      <c r="AO115" s="27">
        <f t="shared" si="32"/>
        <v>0.4580193463</v>
      </c>
      <c r="AP115" s="27">
        <f t="shared" si="33"/>
        <v>26.24257548</v>
      </c>
      <c r="AQ115" s="164"/>
      <c r="AR115" s="164"/>
      <c r="AS115" s="38"/>
      <c r="AT115" s="38"/>
      <c r="AU115" s="38"/>
      <c r="AV115" s="38"/>
      <c r="AW115" s="38"/>
      <c r="AX115" s="178"/>
    </row>
    <row r="116" hidden="1">
      <c r="A116" s="6"/>
      <c r="B116" s="167" t="b">
        <v>1</v>
      </c>
      <c r="C116" s="21" t="s">
        <v>36</v>
      </c>
      <c r="D116" s="160" t="s">
        <v>37</v>
      </c>
      <c r="E116" s="179" t="s">
        <v>36</v>
      </c>
      <c r="F116" s="22" t="s">
        <v>88</v>
      </c>
      <c r="G116" s="169">
        <v>32.0</v>
      </c>
      <c r="H116" s="168" t="s">
        <v>39</v>
      </c>
      <c r="I116" s="169">
        <v>8.0</v>
      </c>
      <c r="J116" s="23">
        <v>4.8738</v>
      </c>
      <c r="K116" s="161">
        <v>0.1174</v>
      </c>
      <c r="L116" s="161">
        <v>0.2993</v>
      </c>
      <c r="M116" s="181">
        <v>75.497</v>
      </c>
      <c r="N116" s="163">
        <v>33.628</v>
      </c>
      <c r="O116" s="161">
        <v>193.987</v>
      </c>
      <c r="P116" s="175">
        <v>0.769439271851636</v>
      </c>
      <c r="Q116" s="175">
        <v>3.01989445079459</v>
      </c>
      <c r="R116" s="177">
        <v>0.379030202597762</v>
      </c>
      <c r="S116" s="177">
        <v>0.345373565339892</v>
      </c>
      <c r="T116" s="177"/>
      <c r="U116" s="177"/>
      <c r="V116" s="175">
        <v>1.38152716311256</v>
      </c>
      <c r="W116" s="175">
        <v>5.26366664916208</v>
      </c>
      <c r="X116" s="177">
        <v>0.446990983451578</v>
      </c>
      <c r="Y116" s="177">
        <v>0.439271147380903</v>
      </c>
      <c r="Z116" s="177"/>
      <c r="AA116" s="177"/>
      <c r="AB116" s="175">
        <v>1.12388717382328</v>
      </c>
      <c r="AC116" s="175">
        <v>4.3044011083134</v>
      </c>
      <c r="AD116" s="177">
        <v>0.357760672058656</v>
      </c>
      <c r="AE116" s="177">
        <v>0.333883799469739</v>
      </c>
      <c r="AF116" s="177"/>
      <c r="AG116" s="177"/>
      <c r="AH116" s="175">
        <v>0.425839671050154</v>
      </c>
      <c r="AI116" s="175">
        <v>1.69263795832961</v>
      </c>
      <c r="AJ116" s="177">
        <v>0.572746766486044</v>
      </c>
      <c r="AK116" s="177">
        <v>0.582136327370952</v>
      </c>
      <c r="AL116" s="177"/>
      <c r="AM116" s="177"/>
      <c r="AN116" s="26">
        <f t="shared" si="31"/>
        <v>2.247661681</v>
      </c>
      <c r="AO116" s="27">
        <f t="shared" si="32"/>
        <v>0.432149183</v>
      </c>
      <c r="AP116" s="27">
        <f t="shared" si="33"/>
        <v>24.76032431</v>
      </c>
      <c r="AQ116" s="164"/>
      <c r="AR116" s="164"/>
      <c r="AS116" s="38"/>
      <c r="AT116" s="38"/>
      <c r="AU116" s="38"/>
      <c r="AV116" s="38"/>
      <c r="AW116" s="38"/>
      <c r="AX116" s="178"/>
    </row>
    <row r="117" hidden="1">
      <c r="A117" s="6"/>
      <c r="B117" s="167" t="b">
        <v>1</v>
      </c>
      <c r="C117" s="21" t="s">
        <v>36</v>
      </c>
      <c r="D117" s="160" t="s">
        <v>37</v>
      </c>
      <c r="E117" s="179" t="s">
        <v>65</v>
      </c>
      <c r="F117" s="22" t="s">
        <v>41</v>
      </c>
      <c r="G117" s="169">
        <v>32.0</v>
      </c>
      <c r="H117" s="168" t="s">
        <v>39</v>
      </c>
      <c r="I117" s="169">
        <v>8.0</v>
      </c>
      <c r="J117" s="171">
        <v>0.3046</v>
      </c>
      <c r="K117" s="172">
        <v>0.0073</v>
      </c>
      <c r="L117" s="172">
        <v>0.2993</v>
      </c>
      <c r="M117" s="173">
        <v>4.719</v>
      </c>
      <c r="N117" s="174">
        <v>2.171</v>
      </c>
      <c r="O117" s="172">
        <v>12.124</v>
      </c>
      <c r="P117" s="175">
        <v>0.74558359349361</v>
      </c>
      <c r="Q117" s="175">
        <v>2.87675645168105</v>
      </c>
      <c r="R117" s="177">
        <v>0.411924746321318</v>
      </c>
      <c r="S117" s="177">
        <v>0.343072762087009</v>
      </c>
      <c r="T117" s="177"/>
      <c r="U117" s="177"/>
      <c r="V117" s="175">
        <v>1.23325414174434</v>
      </c>
      <c r="W117" s="175">
        <v>4.70324230017609</v>
      </c>
      <c r="X117" s="177">
        <v>0.397274324124128</v>
      </c>
      <c r="Y117" s="177">
        <v>0.324723841738264</v>
      </c>
      <c r="Z117" s="177"/>
      <c r="AA117" s="177"/>
      <c r="AB117" s="175">
        <v>1.04417070428989</v>
      </c>
      <c r="AC117" s="175">
        <v>4.0429922454148</v>
      </c>
      <c r="AD117" s="177">
        <v>0.314474212959966</v>
      </c>
      <c r="AE117" s="177">
        <v>0.264729097238491</v>
      </c>
      <c r="AF117" s="177"/>
      <c r="AG117" s="177"/>
      <c r="AH117" s="175">
        <v>0.47322521747254</v>
      </c>
      <c r="AI117" s="175">
        <v>1.90572130882771</v>
      </c>
      <c r="AJ117" s="177">
        <v>0.794893285162154</v>
      </c>
      <c r="AK117" s="177">
        <v>0.891896794754855</v>
      </c>
      <c r="AL117" s="177"/>
      <c r="AM117" s="177"/>
      <c r="AN117" s="26">
        <f t="shared" si="31"/>
        <v>2.128118245</v>
      </c>
      <c r="AO117" s="27">
        <f t="shared" si="32"/>
        <v>0.467873633</v>
      </c>
      <c r="AP117" s="27">
        <f t="shared" si="33"/>
        <v>26.80718452</v>
      </c>
      <c r="AQ117" s="164"/>
      <c r="AR117" s="164"/>
      <c r="AS117" s="38"/>
      <c r="AT117" s="38"/>
      <c r="AU117" s="38"/>
      <c r="AV117" s="38"/>
      <c r="AW117" s="38"/>
      <c r="AX117" s="178"/>
    </row>
    <row r="118" hidden="1">
      <c r="A118" s="6"/>
      <c r="B118" s="167" t="b">
        <v>1</v>
      </c>
      <c r="C118" s="21" t="s">
        <v>36</v>
      </c>
      <c r="D118" s="160" t="s">
        <v>37</v>
      </c>
      <c r="E118" s="179" t="s">
        <v>65</v>
      </c>
      <c r="F118" s="22" t="s">
        <v>89</v>
      </c>
      <c r="G118" s="169">
        <v>32.0</v>
      </c>
      <c r="H118" s="168" t="s">
        <v>39</v>
      </c>
      <c r="I118" s="169">
        <v>8.0</v>
      </c>
      <c r="J118" s="23">
        <v>4.8738</v>
      </c>
      <c r="K118" s="161">
        <v>0.1174</v>
      </c>
      <c r="L118" s="161">
        <v>0.2993</v>
      </c>
      <c r="M118" s="181">
        <v>75.497</v>
      </c>
      <c r="N118" s="163">
        <v>33.628</v>
      </c>
      <c r="O118" s="161">
        <v>193.987</v>
      </c>
      <c r="P118" s="175">
        <v>0.713218207960319</v>
      </c>
      <c r="Q118" s="175">
        <v>2.74295714297475</v>
      </c>
      <c r="R118" s="177">
        <v>0.350612156342327</v>
      </c>
      <c r="S118" s="177">
        <v>0.279124891665337</v>
      </c>
      <c r="T118" s="177"/>
      <c r="U118" s="177"/>
      <c r="V118" s="175">
        <v>1.19007529010595</v>
      </c>
      <c r="W118" s="175">
        <v>4.51034560545025</v>
      </c>
      <c r="X118" s="177">
        <v>0.361058840036546</v>
      </c>
      <c r="Y118" s="177">
        <v>0.276739663652283</v>
      </c>
      <c r="Z118" s="177"/>
      <c r="AA118" s="177"/>
      <c r="AB118" s="175">
        <v>0.996823954607417</v>
      </c>
      <c r="AC118" s="175">
        <v>3.85279111783297</v>
      </c>
      <c r="AD118" s="177">
        <v>0.27666265932553</v>
      </c>
      <c r="AE118" s="177">
        <v>0.219309297672498</v>
      </c>
      <c r="AF118" s="177"/>
      <c r="AG118" s="177"/>
      <c r="AH118" s="175">
        <v>0.47675026060273</v>
      </c>
      <c r="AI118" s="175">
        <v>1.92431740931948</v>
      </c>
      <c r="AJ118" s="177">
        <v>0.794208271086036</v>
      </c>
      <c r="AK118" s="177">
        <v>0.867969566687917</v>
      </c>
      <c r="AL118" s="177"/>
      <c r="AM118" s="177"/>
      <c r="AN118" s="26">
        <f t="shared" si="31"/>
        <v>2.050909874</v>
      </c>
      <c r="AO118" s="27">
        <f t="shared" si="32"/>
        <v>0.4282106683</v>
      </c>
      <c r="AP118" s="27">
        <f t="shared" si="33"/>
        <v>24.53466404</v>
      </c>
      <c r="AQ118" s="164"/>
      <c r="AR118" s="164"/>
      <c r="AS118" s="38"/>
      <c r="AT118" s="38"/>
      <c r="AU118" s="38"/>
      <c r="AV118" s="38"/>
      <c r="AW118" s="38"/>
      <c r="AX118" s="178"/>
    </row>
    <row r="119" hidden="1">
      <c r="A119" s="6"/>
      <c r="B119" s="167" t="b">
        <v>1</v>
      </c>
      <c r="C119" s="21" t="s">
        <v>65</v>
      </c>
      <c r="D119" s="168" t="s">
        <v>37</v>
      </c>
      <c r="E119" s="179" t="s">
        <v>65</v>
      </c>
      <c r="F119" s="22" t="s">
        <v>41</v>
      </c>
      <c r="G119" s="169">
        <v>32.0</v>
      </c>
      <c r="H119" s="168" t="s">
        <v>39</v>
      </c>
      <c r="I119" s="169">
        <v>8.0</v>
      </c>
      <c r="J119" s="171">
        <v>0.3046</v>
      </c>
      <c r="K119" s="172">
        <v>0.0073</v>
      </c>
      <c r="L119" s="172">
        <v>0.2993</v>
      </c>
      <c r="M119" s="173">
        <v>4.719</v>
      </c>
      <c r="N119" s="174">
        <v>2.171</v>
      </c>
      <c r="O119" s="172">
        <v>12.124</v>
      </c>
      <c r="P119" s="175">
        <v>1.98810381960304</v>
      </c>
      <c r="Q119" s="175">
        <v>7.86606496503372</v>
      </c>
      <c r="R119" s="177">
        <v>1.41935439823012</v>
      </c>
      <c r="S119" s="177">
        <v>1.39760310720607</v>
      </c>
      <c r="T119" s="177"/>
      <c r="U119" s="177"/>
      <c r="V119" s="175">
        <v>2.363891860551</v>
      </c>
      <c r="W119" s="175">
        <v>9.24309201626925</v>
      </c>
      <c r="X119" s="177">
        <v>1.50975287989744</v>
      </c>
      <c r="Y119" s="177">
        <v>1.45922549991275</v>
      </c>
      <c r="Z119" s="177"/>
      <c r="AA119" s="177"/>
      <c r="AB119" s="175">
        <v>2.24029395326819</v>
      </c>
      <c r="AC119" s="175">
        <v>8.79858544558416</v>
      </c>
      <c r="AD119" s="177">
        <v>1.50189432102512</v>
      </c>
      <c r="AE119" s="177">
        <v>1.4567319331188</v>
      </c>
      <c r="AF119" s="177"/>
      <c r="AG119" s="177"/>
      <c r="AH119" s="175">
        <v>1.72033361694505</v>
      </c>
      <c r="AI119" s="175">
        <v>6.80214884977318</v>
      </c>
      <c r="AJ119" s="177">
        <v>1.28571072212008</v>
      </c>
      <c r="AK119" s="177">
        <v>1.33800969852789</v>
      </c>
      <c r="AL119" s="177"/>
      <c r="AM119" s="177"/>
      <c r="AN119" s="26">
        <f t="shared" si="31"/>
        <v>5.127814316</v>
      </c>
      <c r="AO119" s="27">
        <f t="shared" si="32"/>
        <v>1.42103532</v>
      </c>
      <c r="AP119" s="27">
        <f t="shared" si="33"/>
        <v>81.41932638</v>
      </c>
      <c r="AQ119" s="164"/>
      <c r="AR119" s="164"/>
      <c r="AS119" s="38"/>
      <c r="AT119" s="38"/>
      <c r="AU119" s="38"/>
      <c r="AV119" s="38"/>
      <c r="AW119" s="38"/>
      <c r="AX119" s="178"/>
    </row>
    <row r="120" hidden="1">
      <c r="A120" s="186" t="s">
        <v>86</v>
      </c>
      <c r="B120" s="20" t="b">
        <v>1</v>
      </c>
      <c r="C120" s="21" t="s">
        <v>65</v>
      </c>
      <c r="D120" s="160" t="s">
        <v>37</v>
      </c>
      <c r="E120" s="184" t="s">
        <v>65</v>
      </c>
      <c r="F120" s="22" t="s">
        <v>41</v>
      </c>
      <c r="G120" s="22">
        <v>32.0</v>
      </c>
      <c r="H120" s="160" t="s">
        <v>39</v>
      </c>
      <c r="I120" s="22">
        <v>8.0</v>
      </c>
      <c r="J120" s="23">
        <v>0.3046</v>
      </c>
      <c r="K120" s="161">
        <v>0.0073</v>
      </c>
      <c r="L120" s="161">
        <v>0.2993</v>
      </c>
      <c r="M120" s="181">
        <v>4.719</v>
      </c>
      <c r="N120" s="163">
        <v>2.171</v>
      </c>
      <c r="O120" s="161">
        <v>12.124</v>
      </c>
      <c r="P120" s="24">
        <v>1.96507518087566</v>
      </c>
      <c r="Q120" s="24">
        <v>7.66594965256332</v>
      </c>
      <c r="R120" s="25">
        <v>1.47766389334124</v>
      </c>
      <c r="S120" s="25">
        <v>1.41835803848396</v>
      </c>
      <c r="T120" s="25"/>
      <c r="U120" s="25"/>
      <c r="V120" s="24">
        <v>2.35319576589177</v>
      </c>
      <c r="W120" s="24">
        <v>9.15857141150402</v>
      </c>
      <c r="X120" s="25">
        <v>1.39149748854711</v>
      </c>
      <c r="Y120" s="25">
        <v>1.32749800620724</v>
      </c>
      <c r="Z120" s="25"/>
      <c r="AA120" s="25"/>
      <c r="AB120" s="24">
        <v>2.24228054169075</v>
      </c>
      <c r="AC120" s="24">
        <v>8.73177336751426</v>
      </c>
      <c r="AD120" s="25">
        <v>1.40994890815784</v>
      </c>
      <c r="AE120" s="25">
        <v>1.37262230485473</v>
      </c>
      <c r="AF120" s="25"/>
      <c r="AG120" s="25"/>
      <c r="AH120" s="24">
        <v>1.83260406173228</v>
      </c>
      <c r="AI120" s="24">
        <v>7.17610487510938</v>
      </c>
      <c r="AJ120" s="25">
        <v>1.65254952783358</v>
      </c>
      <c r="AK120" s="25">
        <v>1.71892236143788</v>
      </c>
      <c r="AL120" s="25"/>
      <c r="AM120" s="25"/>
      <c r="AN120" s="26">
        <f t="shared" si="31"/>
        <v>5.140694357</v>
      </c>
      <c r="AO120" s="27">
        <f t="shared" si="32"/>
        <v>1.471132566</v>
      </c>
      <c r="AP120" s="27">
        <f t="shared" si="33"/>
        <v>84.28968714</v>
      </c>
      <c r="AQ120" s="164"/>
      <c r="AR120" s="164"/>
      <c r="AS120" s="8"/>
      <c r="AT120" s="8"/>
      <c r="AU120" s="8"/>
      <c r="AV120" s="8"/>
      <c r="AW120" s="8"/>
      <c r="AX120" s="165"/>
    </row>
    <row r="121" hidden="1">
      <c r="A121" s="186" t="s">
        <v>84</v>
      </c>
      <c r="B121" s="167" t="b">
        <v>1</v>
      </c>
      <c r="C121" s="21" t="s">
        <v>36</v>
      </c>
      <c r="D121" s="169" t="s">
        <v>37</v>
      </c>
      <c r="E121" s="179" t="s">
        <v>64</v>
      </c>
      <c r="F121" s="22" t="s">
        <v>41</v>
      </c>
      <c r="G121" s="169">
        <v>32.0</v>
      </c>
      <c r="H121" s="168" t="s">
        <v>39</v>
      </c>
      <c r="I121" s="169">
        <v>8.0</v>
      </c>
      <c r="J121" s="171">
        <v>0.0762</v>
      </c>
      <c r="K121" s="172">
        <v>0.0018</v>
      </c>
      <c r="L121" s="172">
        <v>0.2993</v>
      </c>
      <c r="M121" s="173">
        <v>1.18</v>
      </c>
      <c r="N121" s="174">
        <v>0.598</v>
      </c>
      <c r="O121" s="172">
        <v>3.031</v>
      </c>
      <c r="P121" s="175">
        <v>0.748159571879588</v>
      </c>
      <c r="Q121" s="175">
        <v>2.87582220184434</v>
      </c>
      <c r="R121" s="177">
        <v>0.446529246984365</v>
      </c>
      <c r="S121" s="177">
        <v>0.387229828282744</v>
      </c>
      <c r="T121" s="177"/>
      <c r="U121" s="177"/>
      <c r="V121" s="175">
        <v>1.23920797427516</v>
      </c>
      <c r="W121" s="175">
        <v>4.75424506074442</v>
      </c>
      <c r="X121" s="177">
        <v>0.477881518268681</v>
      </c>
      <c r="Y121" s="177">
        <v>0.420486518903603</v>
      </c>
      <c r="Z121" s="177"/>
      <c r="AA121" s="177"/>
      <c r="AB121" s="175">
        <v>1.07116310512705</v>
      </c>
      <c r="AC121" s="175">
        <v>4.19039958775048</v>
      </c>
      <c r="AD121" s="177">
        <v>0.383753708728819</v>
      </c>
      <c r="AE121" s="177">
        <v>0.355847803241199</v>
      </c>
      <c r="AF121" s="177"/>
      <c r="AG121" s="177"/>
      <c r="AH121" s="175">
        <v>0.456813764269822</v>
      </c>
      <c r="AI121" s="175">
        <v>1.80576361433689</v>
      </c>
      <c r="AJ121" s="177">
        <v>0.779603966711124</v>
      </c>
      <c r="AK121" s="177">
        <v>0.827144235223961</v>
      </c>
      <c r="AL121" s="177"/>
      <c r="AM121" s="177"/>
      <c r="AN121" s="26">
        <f t="shared" si="31"/>
        <v>2.14269686</v>
      </c>
      <c r="AO121" s="27">
        <f t="shared" si="32"/>
        <v>0.5098096033</v>
      </c>
      <c r="AP121" s="27">
        <f t="shared" si="33"/>
        <v>29.20993862</v>
      </c>
      <c r="AQ121" s="164"/>
      <c r="AR121" s="164"/>
      <c r="AS121" s="38"/>
      <c r="AT121" s="38"/>
      <c r="AU121" s="38"/>
      <c r="AV121" s="38"/>
      <c r="AW121" s="38"/>
      <c r="AX121" s="178"/>
    </row>
    <row r="122" hidden="1">
      <c r="A122" s="6"/>
      <c r="B122" s="167" t="b">
        <v>1</v>
      </c>
      <c r="C122" s="21" t="s">
        <v>36</v>
      </c>
      <c r="D122" s="169" t="s">
        <v>37</v>
      </c>
      <c r="E122" s="179" t="s">
        <v>64</v>
      </c>
      <c r="F122" s="22" t="s">
        <v>89</v>
      </c>
      <c r="G122" s="169">
        <v>32.0</v>
      </c>
      <c r="H122" s="168" t="s">
        <v>39</v>
      </c>
      <c r="I122" s="169">
        <v>8.0</v>
      </c>
      <c r="J122" s="23">
        <v>4.8738</v>
      </c>
      <c r="K122" s="161">
        <v>0.1174</v>
      </c>
      <c r="L122" s="161">
        <v>0.2993</v>
      </c>
      <c r="M122" s="181">
        <v>75.497</v>
      </c>
      <c r="N122" s="163">
        <v>33.628</v>
      </c>
      <c r="O122" s="161">
        <v>193.987</v>
      </c>
      <c r="P122" s="175">
        <v>0.688853208694421</v>
      </c>
      <c r="Q122" s="175">
        <v>2.6548418254792</v>
      </c>
      <c r="R122" s="177">
        <v>0.361133417427212</v>
      </c>
      <c r="S122" s="177">
        <v>0.311323246282014</v>
      </c>
      <c r="T122" s="177"/>
      <c r="U122" s="177"/>
      <c r="V122" s="175">
        <v>1.14489607404241</v>
      </c>
      <c r="W122" s="175">
        <v>4.39712915252703</v>
      </c>
      <c r="X122" s="177">
        <v>0.365531792490012</v>
      </c>
      <c r="Y122" s="177">
        <v>0.333307159373673</v>
      </c>
      <c r="Z122" s="177"/>
      <c r="AA122" s="177"/>
      <c r="AB122" s="175">
        <v>0.978256324034655</v>
      </c>
      <c r="AC122" s="175">
        <v>3.85171753157134</v>
      </c>
      <c r="AD122" s="177">
        <v>0.287519687545359</v>
      </c>
      <c r="AE122" s="177">
        <v>0.2645091894986</v>
      </c>
      <c r="AF122" s="177"/>
      <c r="AG122" s="177"/>
      <c r="AH122" s="175">
        <v>0.438315806606765</v>
      </c>
      <c r="AI122" s="175">
        <v>1.68046880922635</v>
      </c>
      <c r="AJ122" s="177">
        <v>0.687726001514223</v>
      </c>
      <c r="AK122" s="177">
        <v>0.752555826976061</v>
      </c>
      <c r="AL122" s="177"/>
      <c r="AM122" s="177"/>
      <c r="AN122" s="26">
        <f t="shared" si="31"/>
        <v>1.979309842</v>
      </c>
      <c r="AO122" s="27">
        <f t="shared" si="32"/>
        <v>0.4204507901</v>
      </c>
      <c r="AP122" s="27">
        <f t="shared" si="33"/>
        <v>24.09005577</v>
      </c>
      <c r="AQ122" s="164"/>
      <c r="AR122" s="164"/>
      <c r="AS122" s="38"/>
      <c r="AT122" s="38"/>
      <c r="AU122" s="38"/>
      <c r="AV122" s="38"/>
      <c r="AW122" s="38"/>
      <c r="AX122" s="178"/>
    </row>
    <row r="123" hidden="1">
      <c r="A123" s="15"/>
      <c r="B123" s="167" t="b">
        <v>1</v>
      </c>
      <c r="C123" s="21" t="s">
        <v>64</v>
      </c>
      <c r="D123" s="168" t="s">
        <v>37</v>
      </c>
      <c r="E123" s="179" t="s">
        <v>64</v>
      </c>
      <c r="F123" s="22" t="s">
        <v>41</v>
      </c>
      <c r="G123" s="169">
        <v>32.0</v>
      </c>
      <c r="H123" s="168" t="s">
        <v>39</v>
      </c>
      <c r="I123" s="169">
        <v>8.0</v>
      </c>
      <c r="J123" s="171">
        <v>0.0762</v>
      </c>
      <c r="K123" s="172">
        <v>0.0018</v>
      </c>
      <c r="L123" s="172">
        <v>0.2993</v>
      </c>
      <c r="M123" s="173">
        <v>1.18</v>
      </c>
      <c r="N123" s="174">
        <v>0.598</v>
      </c>
      <c r="O123" s="172">
        <v>3.031</v>
      </c>
      <c r="P123" s="175">
        <v>1.39434228069209</v>
      </c>
      <c r="Q123" s="175">
        <v>5.49999948956401</v>
      </c>
      <c r="R123" s="177">
        <v>1.40910536143926</v>
      </c>
      <c r="S123" s="177">
        <v>1.36565396984724</v>
      </c>
      <c r="T123" s="177"/>
      <c r="U123" s="177"/>
      <c r="V123" s="175">
        <v>1.94918686869297</v>
      </c>
      <c r="W123" s="175">
        <v>7.57894540010575</v>
      </c>
      <c r="X123" s="177">
        <v>1.39248386397405</v>
      </c>
      <c r="Y123" s="177">
        <v>1.34126477480049</v>
      </c>
      <c r="Z123" s="177"/>
      <c r="AA123" s="177"/>
      <c r="AB123" s="175">
        <v>1.79356884565914</v>
      </c>
      <c r="AC123" s="175">
        <v>7.00835913054941</v>
      </c>
      <c r="AD123" s="177">
        <v>1.41138233065426</v>
      </c>
      <c r="AE123" s="177">
        <v>1.39422133619092</v>
      </c>
      <c r="AF123" s="177"/>
      <c r="AG123" s="177"/>
      <c r="AH123" s="175">
        <v>0.716313859806039</v>
      </c>
      <c r="AI123" s="175">
        <v>2.89017922179759</v>
      </c>
      <c r="AJ123" s="177">
        <v>1.36670273480825</v>
      </c>
      <c r="AK123" s="177">
        <v>1.34196444765458</v>
      </c>
      <c r="AL123" s="177"/>
      <c r="AM123" s="177"/>
      <c r="AN123" s="26">
        <f t="shared" si="31"/>
        <v>3.603861887</v>
      </c>
      <c r="AO123" s="27">
        <f t="shared" si="32"/>
        <v>1.377847352</v>
      </c>
      <c r="AP123" s="27">
        <f t="shared" si="33"/>
        <v>78.94483811</v>
      </c>
      <c r="AQ123" s="164"/>
      <c r="AR123" s="164"/>
      <c r="AS123" s="38"/>
      <c r="AT123" s="38"/>
      <c r="AU123" s="38"/>
      <c r="AV123" s="38"/>
      <c r="AW123" s="38"/>
      <c r="AX123" s="178"/>
    </row>
    <row r="124" hidden="1">
      <c r="A124" s="166" t="s">
        <v>90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4"/>
    </row>
    <row r="125" hidden="1">
      <c r="A125" s="20" t="s">
        <v>86</v>
      </c>
      <c r="B125" s="20" t="b">
        <v>1</v>
      </c>
      <c r="C125" s="21" t="s">
        <v>36</v>
      </c>
      <c r="D125" s="160" t="s">
        <v>37</v>
      </c>
      <c r="E125" s="160" t="s">
        <v>38</v>
      </c>
      <c r="F125" s="22" t="s">
        <v>37</v>
      </c>
      <c r="G125" s="160">
        <v>32.0</v>
      </c>
      <c r="H125" s="160" t="s">
        <v>39</v>
      </c>
      <c r="I125" s="187">
        <v>6.0</v>
      </c>
      <c r="J125" s="23">
        <v>3.6658</v>
      </c>
      <c r="K125" s="161">
        <v>0.0839</v>
      </c>
      <c r="L125" s="161">
        <v>0.225</v>
      </c>
      <c r="M125" s="181">
        <v>58.945</v>
      </c>
      <c r="N125" s="163">
        <v>33.628</v>
      </c>
      <c r="O125" s="161">
        <v>143.655</v>
      </c>
      <c r="P125" s="24">
        <v>0.997483734417224</v>
      </c>
      <c r="Q125" s="24">
        <v>3.80339196077519</v>
      </c>
      <c r="R125" s="25">
        <v>0.444277909516681</v>
      </c>
      <c r="S125" s="25">
        <v>0.428920353055922</v>
      </c>
      <c r="T125" s="25"/>
      <c r="U125" s="25"/>
      <c r="V125" s="24">
        <v>1.76309203971487</v>
      </c>
      <c r="W125" s="24">
        <v>6.3133150441103</v>
      </c>
      <c r="X125" s="25">
        <v>0.546423031208405</v>
      </c>
      <c r="Y125" s="25">
        <v>0.513118152060218</v>
      </c>
      <c r="Z125" s="25"/>
      <c r="AA125" s="25"/>
      <c r="AB125" s="24">
        <v>1.50805124842915</v>
      </c>
      <c r="AC125" s="24">
        <v>5.3434494960921</v>
      </c>
      <c r="AD125" s="25">
        <v>0.464402317420021</v>
      </c>
      <c r="AE125" s="25">
        <v>0.429864181489376</v>
      </c>
      <c r="AF125" s="25"/>
      <c r="AG125" s="25"/>
      <c r="AH125" s="24">
        <v>0.626211197593934</v>
      </c>
      <c r="AI125" s="24">
        <v>2.34458295782667</v>
      </c>
      <c r="AJ125" s="25">
        <v>0.485875396609479</v>
      </c>
      <c r="AK125" s="25">
        <v>0.468656543827971</v>
      </c>
      <c r="AL125" s="25"/>
      <c r="AM125" s="25"/>
      <c r="AN125" s="26">
        <f t="shared" ref="AN125:AN126" si="34">AVERAGE(P125,Q125,V125,W125,AB125,AC125,AH125,AI125)</f>
        <v>2.83744721</v>
      </c>
      <c r="AO125" s="27">
        <f t="shared" ref="AO125:AO126" si="35">AVERAGE(R125,S125,X125,AD125,AE125,Y125,AJ125,AK125)</f>
        <v>0.4726922356</v>
      </c>
      <c r="AP125" s="27">
        <f t="shared" ref="AP125:AP126" si="36">AO125 * (180/PI())</f>
        <v>27.08327011</v>
      </c>
      <c r="AQ125" s="164"/>
      <c r="AR125" s="164"/>
      <c r="AS125" s="8"/>
      <c r="AT125" s="8"/>
      <c r="AU125" s="8"/>
      <c r="AV125" s="8"/>
      <c r="AW125" s="8"/>
      <c r="AX125" s="165"/>
    </row>
    <row r="126" hidden="1">
      <c r="A126" s="20" t="s">
        <v>84</v>
      </c>
      <c r="B126" s="20" t="b">
        <v>1</v>
      </c>
      <c r="C126" s="21" t="s">
        <v>36</v>
      </c>
      <c r="D126" s="160" t="s">
        <v>37</v>
      </c>
      <c r="E126" s="160" t="s">
        <v>38</v>
      </c>
      <c r="F126" s="22" t="s">
        <v>37</v>
      </c>
      <c r="G126" s="160">
        <v>32.0</v>
      </c>
      <c r="H126" s="160" t="s">
        <v>39</v>
      </c>
      <c r="I126" s="187">
        <v>6.0</v>
      </c>
      <c r="J126" s="23">
        <v>3.6658</v>
      </c>
      <c r="K126" s="161">
        <v>0.0839</v>
      </c>
      <c r="L126" s="161">
        <v>0.225</v>
      </c>
      <c r="M126" s="181">
        <v>58.945</v>
      </c>
      <c r="N126" s="163">
        <v>33.628</v>
      </c>
      <c r="O126" s="161">
        <v>143.655</v>
      </c>
      <c r="P126" s="24">
        <v>1.03837805019565</v>
      </c>
      <c r="Q126" s="24">
        <v>3.93071195176105</v>
      </c>
      <c r="R126" s="25">
        <v>0.537384663653403</v>
      </c>
      <c r="S126" s="25">
        <v>0.524068462704495</v>
      </c>
      <c r="T126" s="25"/>
      <c r="U126" s="25"/>
      <c r="V126" s="24">
        <v>1.79528809579441</v>
      </c>
      <c r="W126" s="24">
        <v>6.43968831171483</v>
      </c>
      <c r="X126" s="25">
        <v>0.620037010409923</v>
      </c>
      <c r="Y126" s="25">
        <v>0.609635947778423</v>
      </c>
      <c r="Z126" s="25"/>
      <c r="AA126" s="25"/>
      <c r="AB126" s="24">
        <v>1.51976982802244</v>
      </c>
      <c r="AC126" s="24">
        <v>5.36178443176852</v>
      </c>
      <c r="AD126" s="25">
        <v>0.536486323598321</v>
      </c>
      <c r="AE126" s="25">
        <v>0.515363566662269</v>
      </c>
      <c r="AF126" s="25"/>
      <c r="AG126" s="25"/>
      <c r="AH126" s="24">
        <v>0.577711257389123</v>
      </c>
      <c r="AI126" s="24">
        <v>2.17117007325343</v>
      </c>
      <c r="AJ126" s="25">
        <v>0.415044888009042</v>
      </c>
      <c r="AK126" s="25">
        <v>0.397823879649261</v>
      </c>
      <c r="AL126" s="25"/>
      <c r="AM126" s="25"/>
      <c r="AN126" s="26">
        <f t="shared" si="34"/>
        <v>2.85431275</v>
      </c>
      <c r="AO126" s="27">
        <f t="shared" si="35"/>
        <v>0.5194805928</v>
      </c>
      <c r="AP126" s="27">
        <f t="shared" si="36"/>
        <v>29.76404551</v>
      </c>
      <c r="AQ126" s="164"/>
      <c r="AR126" s="164"/>
      <c r="AS126" s="8"/>
      <c r="AT126" s="8"/>
      <c r="AU126" s="8"/>
      <c r="AV126" s="8"/>
      <c r="AW126" s="8"/>
      <c r="AX126" s="165"/>
    </row>
    <row r="127" hidden="1">
      <c r="A127" s="166" t="s">
        <v>91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</row>
    <row r="128" hidden="1">
      <c r="A128" s="19" t="s">
        <v>86</v>
      </c>
      <c r="B128" s="20" t="b">
        <v>1</v>
      </c>
      <c r="C128" s="21" t="s">
        <v>36</v>
      </c>
      <c r="D128" s="168" t="s">
        <v>37</v>
      </c>
      <c r="E128" s="168" t="s">
        <v>38</v>
      </c>
      <c r="F128" s="22" t="s">
        <v>37</v>
      </c>
      <c r="G128" s="170">
        <v>16.0</v>
      </c>
      <c r="H128" s="168" t="s">
        <v>39</v>
      </c>
      <c r="I128" s="187">
        <v>6.0</v>
      </c>
      <c r="J128" s="188">
        <v>0.9269</v>
      </c>
      <c r="K128" s="189">
        <v>0.0419</v>
      </c>
      <c r="L128" s="189">
        <v>0.0572</v>
      </c>
      <c r="M128" s="190">
        <v>29.417</v>
      </c>
      <c r="N128" s="163">
        <v>16.796</v>
      </c>
      <c r="O128" s="191">
        <v>72.352</v>
      </c>
      <c r="P128" s="24">
        <v>0.962843153717735</v>
      </c>
      <c r="Q128" s="24">
        <v>3.67134979117305</v>
      </c>
      <c r="R128" s="25">
        <v>0.406658613007923</v>
      </c>
      <c r="S128" s="25">
        <v>0.39770622841133</v>
      </c>
      <c r="T128" s="25"/>
      <c r="U128" s="25"/>
      <c r="V128" s="24">
        <v>1.82920238717581</v>
      </c>
      <c r="W128" s="24">
        <v>6.54229235314073</v>
      </c>
      <c r="X128" s="25">
        <v>0.669232209582599</v>
      </c>
      <c r="Y128" s="25">
        <v>0.626686633567817</v>
      </c>
      <c r="Z128" s="25"/>
      <c r="AA128" s="25"/>
      <c r="AB128" s="24">
        <v>1.56229494818978</v>
      </c>
      <c r="AC128" s="24">
        <v>5.5161170277766</v>
      </c>
      <c r="AD128" s="25">
        <v>0.582907177328976</v>
      </c>
      <c r="AE128" s="25">
        <v>0.53940201498668</v>
      </c>
      <c r="AF128" s="25"/>
      <c r="AG128" s="25"/>
      <c r="AH128" s="24">
        <v>0.610813479729442</v>
      </c>
      <c r="AI128" s="24">
        <v>2.2965786428904</v>
      </c>
      <c r="AJ128" s="25">
        <v>0.493533061438619</v>
      </c>
      <c r="AK128" s="25">
        <v>0.47348159711853</v>
      </c>
      <c r="AL128" s="25"/>
      <c r="AM128" s="25"/>
      <c r="AN128" s="26">
        <f t="shared" ref="AN128:AN133" si="37">AVERAGE(P128,Q128,V128,W128,AB128,AC128,AH128,AI128)</f>
        <v>2.873936473</v>
      </c>
      <c r="AO128" s="27">
        <f t="shared" ref="AO128:AO133" si="38">AVERAGE(R128,S128,X128,AD128,AE128,Y128,AJ128,AK128)</f>
        <v>0.5237009419</v>
      </c>
      <c r="AP128" s="27">
        <f t="shared" ref="AP128:AP133" si="39">AO128 * (180/PI())</f>
        <v>30.0058537</v>
      </c>
      <c r="AQ128" s="164"/>
      <c r="AR128" s="164"/>
      <c r="AS128" s="8"/>
      <c r="AT128" s="8"/>
      <c r="AU128" s="8"/>
      <c r="AV128" s="8"/>
      <c r="AW128" s="8"/>
      <c r="AX128" s="165"/>
    </row>
    <row r="129" hidden="1">
      <c r="A129" s="6"/>
      <c r="B129" s="20" t="b">
        <v>1</v>
      </c>
      <c r="C129" s="21" t="s">
        <v>36</v>
      </c>
      <c r="D129" s="168" t="s">
        <v>37</v>
      </c>
      <c r="E129" s="168" t="s">
        <v>38</v>
      </c>
      <c r="F129" s="22" t="s">
        <v>37</v>
      </c>
      <c r="G129" s="179">
        <v>8.0</v>
      </c>
      <c r="H129" s="168" t="s">
        <v>39</v>
      </c>
      <c r="I129" s="187">
        <v>6.0</v>
      </c>
      <c r="J129" s="188">
        <v>0.237</v>
      </c>
      <c r="K129" s="189">
        <v>0.021</v>
      </c>
      <c r="L129" s="189">
        <v>0.0148</v>
      </c>
      <c r="M129" s="190">
        <v>14.695</v>
      </c>
      <c r="N129" s="192">
        <v>8.393</v>
      </c>
      <c r="O129" s="191">
        <v>36.7</v>
      </c>
      <c r="P129" s="24">
        <v>1.10245368355821</v>
      </c>
      <c r="Q129" s="24">
        <v>4.19759125953578</v>
      </c>
      <c r="R129" s="25">
        <v>0.642208960357182</v>
      </c>
      <c r="S129" s="25">
        <v>0.631801031773151</v>
      </c>
      <c r="T129" s="25"/>
      <c r="U129" s="25"/>
      <c r="V129" s="24">
        <v>1.95242697032015</v>
      </c>
      <c r="W129" s="24">
        <v>7.07726228763991</v>
      </c>
      <c r="X129" s="25">
        <v>0.807633737849063</v>
      </c>
      <c r="Y129" s="25">
        <v>0.784017105227448</v>
      </c>
      <c r="Z129" s="25"/>
      <c r="AA129" s="25"/>
      <c r="AB129" s="24">
        <v>1.68299856476282</v>
      </c>
      <c r="AC129" s="24">
        <v>6.02560321465932</v>
      </c>
      <c r="AD129" s="25">
        <v>0.744277485469279</v>
      </c>
      <c r="AE129" s="25">
        <v>0.710637909227883</v>
      </c>
      <c r="AF129" s="25"/>
      <c r="AG129" s="25"/>
      <c r="AH129" s="24">
        <v>0.604938016895091</v>
      </c>
      <c r="AI129" s="24">
        <v>2.31552057162146</v>
      </c>
      <c r="AJ129" s="25">
        <v>0.501900637509196</v>
      </c>
      <c r="AK129" s="25">
        <v>0.495740881884065</v>
      </c>
      <c r="AL129" s="25"/>
      <c r="AM129" s="25"/>
      <c r="AN129" s="26">
        <f t="shared" si="37"/>
        <v>3.119849321</v>
      </c>
      <c r="AO129" s="27">
        <f t="shared" si="38"/>
        <v>0.6647772187</v>
      </c>
      <c r="AP129" s="27">
        <f t="shared" si="39"/>
        <v>38.08892895</v>
      </c>
      <c r="AQ129" s="164"/>
      <c r="AR129" s="164"/>
      <c r="AS129" s="8"/>
      <c r="AT129" s="8"/>
      <c r="AU129" s="8"/>
      <c r="AV129" s="8"/>
      <c r="AW129" s="8"/>
      <c r="AX129" s="165"/>
    </row>
    <row r="130" hidden="1">
      <c r="A130" s="15"/>
      <c r="B130" s="20" t="b">
        <v>1</v>
      </c>
      <c r="C130" s="21" t="s">
        <v>36</v>
      </c>
      <c r="D130" s="168" t="s">
        <v>37</v>
      </c>
      <c r="E130" s="168" t="s">
        <v>38</v>
      </c>
      <c r="F130" s="22" t="s">
        <v>37</v>
      </c>
      <c r="G130" s="179">
        <v>4.0</v>
      </c>
      <c r="H130" s="168" t="s">
        <v>39</v>
      </c>
      <c r="I130" s="187">
        <v>6.0</v>
      </c>
      <c r="J130" s="188">
        <v>0.0619</v>
      </c>
      <c r="K130" s="189">
        <v>0.0105</v>
      </c>
      <c r="L130" s="189">
        <v>0.0039</v>
      </c>
      <c r="M130" s="190">
        <v>7.344</v>
      </c>
      <c r="N130" s="192">
        <v>4.195</v>
      </c>
      <c r="O130" s="191">
        <v>18.874</v>
      </c>
      <c r="P130" s="24">
        <v>1.20167673511271</v>
      </c>
      <c r="Q130" s="24">
        <v>4.61706544981683</v>
      </c>
      <c r="R130" s="25">
        <v>0.922009443989891</v>
      </c>
      <c r="S130" s="25">
        <v>0.93016002409978</v>
      </c>
      <c r="T130" s="25"/>
      <c r="U130" s="25"/>
      <c r="V130" s="24">
        <v>2.05656781591965</v>
      </c>
      <c r="W130" s="24">
        <v>7.49382426700379</v>
      </c>
      <c r="X130" s="25">
        <v>1.05716457631098</v>
      </c>
      <c r="Y130" s="25">
        <v>1.05546779405723</v>
      </c>
      <c r="Z130" s="25"/>
      <c r="AA130" s="25"/>
      <c r="AB130" s="24">
        <v>1.8020774236415</v>
      </c>
      <c r="AC130" s="24">
        <v>6.50072785567991</v>
      </c>
      <c r="AD130" s="25">
        <v>1.0431172868576</v>
      </c>
      <c r="AE130" s="25">
        <v>1.01002851840372</v>
      </c>
      <c r="AF130" s="25"/>
      <c r="AG130" s="25"/>
      <c r="AH130" s="24">
        <v>0.820706772126873</v>
      </c>
      <c r="AI130" s="24">
        <v>3.24090805639315</v>
      </c>
      <c r="AJ130" s="25">
        <v>0.906749301815335</v>
      </c>
      <c r="AK130" s="25">
        <v>0.970885291583061</v>
      </c>
      <c r="AL130" s="25"/>
      <c r="AM130" s="25"/>
      <c r="AN130" s="26">
        <f t="shared" si="37"/>
        <v>3.466694297</v>
      </c>
      <c r="AO130" s="27">
        <f t="shared" si="38"/>
        <v>0.9869477796</v>
      </c>
      <c r="AP130" s="27">
        <f t="shared" si="39"/>
        <v>56.54794237</v>
      </c>
      <c r="AQ130" s="164"/>
      <c r="AR130" s="164"/>
      <c r="AS130" s="8"/>
      <c r="AT130" s="8"/>
      <c r="AU130" s="8"/>
      <c r="AV130" s="8"/>
      <c r="AW130" s="8"/>
      <c r="AX130" s="165"/>
    </row>
    <row r="131" hidden="1">
      <c r="A131" s="19" t="s">
        <v>84</v>
      </c>
      <c r="B131" s="20" t="b">
        <v>1</v>
      </c>
      <c r="C131" s="21" t="s">
        <v>36</v>
      </c>
      <c r="D131" s="168" t="s">
        <v>37</v>
      </c>
      <c r="E131" s="168" t="s">
        <v>38</v>
      </c>
      <c r="F131" s="22" t="s">
        <v>37</v>
      </c>
      <c r="G131" s="170">
        <v>16.0</v>
      </c>
      <c r="H131" s="168" t="s">
        <v>39</v>
      </c>
      <c r="I131" s="187">
        <v>6.0</v>
      </c>
      <c r="J131" s="188">
        <v>0.9269</v>
      </c>
      <c r="K131" s="189">
        <v>0.0419</v>
      </c>
      <c r="L131" s="189">
        <v>0.0572</v>
      </c>
      <c r="M131" s="190">
        <v>29.417</v>
      </c>
      <c r="N131" s="163">
        <v>16.796</v>
      </c>
      <c r="O131" s="191">
        <v>72.352</v>
      </c>
      <c r="P131" s="24">
        <v>0.996778692230288</v>
      </c>
      <c r="Q131" s="24">
        <v>3.7876835325761</v>
      </c>
      <c r="R131" s="25">
        <v>0.464992474579484</v>
      </c>
      <c r="S131" s="25">
        <v>0.46468669762565</v>
      </c>
      <c r="T131" s="25"/>
      <c r="U131" s="25"/>
      <c r="V131" s="24">
        <v>1.78299643064876</v>
      </c>
      <c r="W131" s="24">
        <v>6.38451810781062</v>
      </c>
      <c r="X131" s="25">
        <v>0.562948912355527</v>
      </c>
      <c r="Y131" s="25">
        <v>0.54038568313416</v>
      </c>
      <c r="Z131" s="25"/>
      <c r="AA131" s="25"/>
      <c r="AB131" s="24">
        <v>1.5166862521871</v>
      </c>
      <c r="AC131" s="24">
        <v>5.37403257476726</v>
      </c>
      <c r="AD131" s="25">
        <v>0.488085218826094</v>
      </c>
      <c r="AE131" s="25">
        <v>0.478485448941257</v>
      </c>
      <c r="AF131" s="25"/>
      <c r="AG131" s="25"/>
      <c r="AH131" s="24">
        <v>0.593287376496152</v>
      </c>
      <c r="AI131" s="24">
        <v>2.24032503872863</v>
      </c>
      <c r="AJ131" s="25">
        <v>0.531217854009312</v>
      </c>
      <c r="AK131" s="25">
        <v>0.5210044891607</v>
      </c>
      <c r="AL131" s="25"/>
      <c r="AM131" s="25"/>
      <c r="AN131" s="26">
        <f t="shared" si="37"/>
        <v>2.834538501</v>
      </c>
      <c r="AO131" s="27">
        <f t="shared" si="38"/>
        <v>0.5064758473</v>
      </c>
      <c r="AP131" s="27">
        <f t="shared" si="39"/>
        <v>29.01892848</v>
      </c>
      <c r="AQ131" s="164"/>
      <c r="AR131" s="164"/>
      <c r="AS131" s="8"/>
      <c r="AT131" s="8"/>
      <c r="AU131" s="8"/>
      <c r="AV131" s="8"/>
      <c r="AW131" s="8"/>
      <c r="AX131" s="165"/>
    </row>
    <row r="132" hidden="1">
      <c r="A132" s="6"/>
      <c r="B132" s="20" t="b">
        <v>1</v>
      </c>
      <c r="C132" s="21" t="s">
        <v>36</v>
      </c>
      <c r="D132" s="168" t="s">
        <v>37</v>
      </c>
      <c r="E132" s="168" t="s">
        <v>38</v>
      </c>
      <c r="F132" s="22" t="s">
        <v>37</v>
      </c>
      <c r="G132" s="179">
        <v>8.0</v>
      </c>
      <c r="H132" s="168" t="s">
        <v>39</v>
      </c>
      <c r="I132" s="187">
        <v>6.0</v>
      </c>
      <c r="J132" s="188">
        <v>0.237</v>
      </c>
      <c r="K132" s="189">
        <v>0.021</v>
      </c>
      <c r="L132" s="189">
        <v>0.0148</v>
      </c>
      <c r="M132" s="190">
        <v>14.695</v>
      </c>
      <c r="N132" s="192">
        <v>8.393</v>
      </c>
      <c r="O132" s="191">
        <v>36.7</v>
      </c>
      <c r="P132" s="24">
        <v>1.07902067230844</v>
      </c>
      <c r="Q132" s="24">
        <v>4.12788916351302</v>
      </c>
      <c r="R132" s="25">
        <v>0.585666194189727</v>
      </c>
      <c r="S132" s="25">
        <v>0.569542176421591</v>
      </c>
      <c r="T132" s="25"/>
      <c r="U132" s="25"/>
      <c r="V132" s="24">
        <v>1.89210841815037</v>
      </c>
      <c r="W132" s="24">
        <v>6.86731381745339</v>
      </c>
      <c r="X132" s="25">
        <v>0.702336243490399</v>
      </c>
      <c r="Y132" s="25">
        <v>0.699723864275631</v>
      </c>
      <c r="Z132" s="25"/>
      <c r="AA132" s="25"/>
      <c r="AB132" s="24">
        <v>1.63670826220098</v>
      </c>
      <c r="AC132" s="24">
        <v>5.86002000659332</v>
      </c>
      <c r="AD132" s="25">
        <v>0.647705772591782</v>
      </c>
      <c r="AE132" s="25">
        <v>0.620623260699836</v>
      </c>
      <c r="AF132" s="25"/>
      <c r="AG132" s="25"/>
      <c r="AH132" s="24">
        <v>0.645950208079714</v>
      </c>
      <c r="AI132" s="24">
        <v>2.50796479203366</v>
      </c>
      <c r="AJ132" s="25">
        <v>0.484326861066072</v>
      </c>
      <c r="AK132" s="25">
        <v>0.484486790106615</v>
      </c>
      <c r="AL132" s="25"/>
      <c r="AM132" s="25"/>
      <c r="AN132" s="26">
        <f t="shared" si="37"/>
        <v>3.077121918</v>
      </c>
      <c r="AO132" s="27">
        <f t="shared" si="38"/>
        <v>0.5993013954</v>
      </c>
      <c r="AP132" s="27">
        <f t="shared" si="39"/>
        <v>34.33744061</v>
      </c>
      <c r="AQ132" s="164"/>
      <c r="AR132" s="164"/>
      <c r="AS132" s="8"/>
      <c r="AT132" s="8"/>
      <c r="AU132" s="8"/>
      <c r="AV132" s="8"/>
      <c r="AW132" s="8"/>
      <c r="AX132" s="165"/>
    </row>
    <row r="133" hidden="1">
      <c r="A133" s="15"/>
      <c r="B133" s="20" t="b">
        <v>1</v>
      </c>
      <c r="C133" s="21" t="s">
        <v>36</v>
      </c>
      <c r="D133" s="168" t="s">
        <v>37</v>
      </c>
      <c r="E133" s="168" t="s">
        <v>38</v>
      </c>
      <c r="F133" s="22" t="s">
        <v>37</v>
      </c>
      <c r="G133" s="179">
        <v>4.0</v>
      </c>
      <c r="H133" s="168" t="s">
        <v>39</v>
      </c>
      <c r="I133" s="187">
        <v>6.0</v>
      </c>
      <c r="J133" s="188">
        <v>0.0619</v>
      </c>
      <c r="K133" s="189">
        <v>0.0105</v>
      </c>
      <c r="L133" s="189">
        <v>0.0039</v>
      </c>
      <c r="M133" s="190">
        <v>7.344</v>
      </c>
      <c r="N133" s="192">
        <v>4.195</v>
      </c>
      <c r="O133" s="191">
        <v>18.874</v>
      </c>
      <c r="P133" s="24">
        <v>1.20501663128501</v>
      </c>
      <c r="Q133" s="24">
        <v>4.64694377080319</v>
      </c>
      <c r="R133" s="25">
        <v>0.8540487417397</v>
      </c>
      <c r="S133" s="25">
        <v>0.853750606545737</v>
      </c>
      <c r="T133" s="25"/>
      <c r="U133" s="25"/>
      <c r="V133" s="24">
        <v>2.02148082960351</v>
      </c>
      <c r="W133" s="24">
        <v>7.41994885305551</v>
      </c>
      <c r="X133" s="25">
        <v>1.01365629188233</v>
      </c>
      <c r="Y133" s="25">
        <v>1.01669663279654</v>
      </c>
      <c r="Z133" s="25"/>
      <c r="AA133" s="25"/>
      <c r="AB133" s="24">
        <v>1.76096145304193</v>
      </c>
      <c r="AC133" s="24">
        <v>6.42158048562296</v>
      </c>
      <c r="AD133" s="25">
        <v>0.889184881003454</v>
      </c>
      <c r="AE133" s="25">
        <v>0.906615223827082</v>
      </c>
      <c r="AF133" s="25"/>
      <c r="AG133" s="25"/>
      <c r="AH133" s="24">
        <v>0.696523706422604</v>
      </c>
      <c r="AI133" s="24">
        <v>2.64616566751845</v>
      </c>
      <c r="AJ133" s="25">
        <v>0.683737973531967</v>
      </c>
      <c r="AK133" s="25">
        <v>0.641296897377519</v>
      </c>
      <c r="AL133" s="25"/>
      <c r="AM133" s="25"/>
      <c r="AN133" s="26">
        <f t="shared" si="37"/>
        <v>3.352327675</v>
      </c>
      <c r="AO133" s="27">
        <f t="shared" si="38"/>
        <v>0.8573734061</v>
      </c>
      <c r="AP133" s="27">
        <f t="shared" si="39"/>
        <v>49.12387764</v>
      </c>
      <c r="AQ133" s="164"/>
      <c r="AR133" s="164"/>
      <c r="AS133" s="8"/>
      <c r="AT133" s="8"/>
      <c r="AU133" s="8"/>
      <c r="AV133" s="8"/>
      <c r="AW133" s="8"/>
      <c r="AX133" s="165"/>
    </row>
    <row r="134" hidden="1">
      <c r="A134" s="166" t="s">
        <v>92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4"/>
    </row>
    <row r="135" hidden="1">
      <c r="A135" s="19" t="s">
        <v>86</v>
      </c>
      <c r="B135" s="167" t="b">
        <v>1</v>
      </c>
      <c r="C135" s="21" t="s">
        <v>36</v>
      </c>
      <c r="D135" s="168" t="s">
        <v>37</v>
      </c>
      <c r="E135" s="170" t="s">
        <v>40</v>
      </c>
      <c r="F135" s="22" t="s">
        <v>41</v>
      </c>
      <c r="G135" s="170">
        <v>16.0</v>
      </c>
      <c r="H135" s="168" t="s">
        <v>39</v>
      </c>
      <c r="I135" s="168">
        <v>8.0</v>
      </c>
      <c r="J135" s="171">
        <v>0.4801</v>
      </c>
      <c r="K135" s="180">
        <v>0.0229</v>
      </c>
      <c r="L135" s="180">
        <v>0.0759</v>
      </c>
      <c r="M135" s="193">
        <v>14.746</v>
      </c>
      <c r="N135" s="194">
        <v>6.572</v>
      </c>
      <c r="O135" s="195">
        <v>38.093</v>
      </c>
      <c r="P135" s="175">
        <v>0.936748121161143</v>
      </c>
      <c r="Q135" s="175">
        <v>3.66008774192453</v>
      </c>
      <c r="R135" s="177">
        <v>0.473947602069406</v>
      </c>
      <c r="S135" s="177">
        <v>0.457517888576884</v>
      </c>
      <c r="T135" s="177"/>
      <c r="U135" s="177"/>
      <c r="V135" s="175">
        <v>1.53687997458906</v>
      </c>
      <c r="W135" s="175">
        <v>5.8133681685766</v>
      </c>
      <c r="X135" s="177">
        <v>0.528237595257383</v>
      </c>
      <c r="Y135" s="177">
        <v>0.516967598624335</v>
      </c>
      <c r="Z135" s="177"/>
      <c r="AA135" s="177"/>
      <c r="AB135" s="175">
        <v>1.29287619430894</v>
      </c>
      <c r="AC135" s="175">
        <v>4.90668892604664</v>
      </c>
      <c r="AD135" s="177">
        <v>0.501857647837026</v>
      </c>
      <c r="AE135" s="177">
        <v>0.495861444340395</v>
      </c>
      <c r="AF135" s="177"/>
      <c r="AG135" s="177"/>
      <c r="AH135" s="175">
        <v>0.554612205186475</v>
      </c>
      <c r="AI135" s="175">
        <v>2.24473616782053</v>
      </c>
      <c r="AJ135" s="177">
        <v>0.773103605891286</v>
      </c>
      <c r="AK135" s="177">
        <v>0.782222971679553</v>
      </c>
      <c r="AL135" s="177"/>
      <c r="AM135" s="177"/>
      <c r="AN135" s="26">
        <f t="shared" ref="AN135:AN140" si="40">AVERAGE(P135,Q135,V135,W135,AB135,AC135,AH135,AI135)</f>
        <v>2.618249687</v>
      </c>
      <c r="AO135" s="27">
        <f t="shared" ref="AO135:AO140" si="41">AVERAGE(R135,S135,X135,AD135,AE135,Y135,AJ135,AK135)</f>
        <v>0.5662145443</v>
      </c>
      <c r="AP135" s="27">
        <f t="shared" ref="AP135:AP140" si="42">AO135 * (180/PI())</f>
        <v>32.44170369</v>
      </c>
      <c r="AQ135" s="164"/>
      <c r="AR135" s="164"/>
      <c r="AS135" s="38"/>
      <c r="AT135" s="38"/>
      <c r="AU135" s="38"/>
      <c r="AV135" s="38"/>
      <c r="AW135" s="38"/>
      <c r="AX135" s="178"/>
    </row>
    <row r="136" hidden="1">
      <c r="A136" s="6"/>
      <c r="B136" s="167" t="b">
        <v>1</v>
      </c>
      <c r="C136" s="21" t="s">
        <v>36</v>
      </c>
      <c r="D136" s="168" t="s">
        <v>37</v>
      </c>
      <c r="E136" s="179" t="s">
        <v>40</v>
      </c>
      <c r="F136" s="22" t="s">
        <v>41</v>
      </c>
      <c r="G136" s="179">
        <v>8.0</v>
      </c>
      <c r="H136" s="168" t="s">
        <v>39</v>
      </c>
      <c r="I136" s="168">
        <v>8.0</v>
      </c>
      <c r="J136" s="171">
        <v>0.1221</v>
      </c>
      <c r="K136" s="180">
        <v>0.0115</v>
      </c>
      <c r="L136" s="180">
        <v>0.0195</v>
      </c>
      <c r="M136" s="193">
        <v>7.373</v>
      </c>
      <c r="N136" s="194">
        <v>3.281</v>
      </c>
      <c r="O136" s="196">
        <v>19.251</v>
      </c>
      <c r="P136" s="175">
        <v>1.00360491513545</v>
      </c>
      <c r="Q136" s="175">
        <v>3.92267742867983</v>
      </c>
      <c r="R136" s="177">
        <v>0.654945736921322</v>
      </c>
      <c r="S136" s="177">
        <v>0.645779702933972</v>
      </c>
      <c r="T136" s="177"/>
      <c r="U136" s="177"/>
      <c r="V136" s="175">
        <v>1.71290660362237</v>
      </c>
      <c r="W136" s="175">
        <v>6.51764901685848</v>
      </c>
      <c r="X136" s="177">
        <v>0.797430037136442</v>
      </c>
      <c r="Y136" s="177">
        <v>0.786682859541536</v>
      </c>
      <c r="Z136" s="177"/>
      <c r="AA136" s="177"/>
      <c r="AB136" s="175">
        <v>1.45225023783553</v>
      </c>
      <c r="AC136" s="175">
        <v>5.52994660320212</v>
      </c>
      <c r="AD136" s="177">
        <v>0.728353305915197</v>
      </c>
      <c r="AE136" s="177">
        <v>0.730247990972731</v>
      </c>
      <c r="AF136" s="177"/>
      <c r="AG136" s="177"/>
      <c r="AH136" s="175">
        <v>0.618523698191867</v>
      </c>
      <c r="AI136" s="175">
        <v>2.5288372188661</v>
      </c>
      <c r="AJ136" s="177">
        <v>0.784569825876579</v>
      </c>
      <c r="AK136" s="177">
        <v>0.81052576771576</v>
      </c>
      <c r="AL136" s="177"/>
      <c r="AM136" s="177"/>
      <c r="AN136" s="26">
        <f t="shared" si="40"/>
        <v>2.910799465</v>
      </c>
      <c r="AO136" s="27">
        <f t="shared" si="41"/>
        <v>0.7423169034</v>
      </c>
      <c r="AP136" s="27">
        <f t="shared" si="42"/>
        <v>42.53162562</v>
      </c>
      <c r="AQ136" s="164"/>
      <c r="AR136" s="164"/>
      <c r="AS136" s="38"/>
      <c r="AT136" s="38"/>
      <c r="AU136" s="38"/>
      <c r="AV136" s="38"/>
      <c r="AW136" s="38"/>
      <c r="AX136" s="178"/>
    </row>
    <row r="137" hidden="1">
      <c r="A137" s="6"/>
      <c r="B137" s="167" t="b">
        <v>1</v>
      </c>
      <c r="C137" s="21" t="s">
        <v>36</v>
      </c>
      <c r="D137" s="168" t="s">
        <v>37</v>
      </c>
      <c r="E137" s="179" t="s">
        <v>40</v>
      </c>
      <c r="F137" s="22" t="s">
        <v>41</v>
      </c>
      <c r="G137" s="179">
        <v>4.0</v>
      </c>
      <c r="H137" s="168" t="s">
        <v>39</v>
      </c>
      <c r="I137" s="168">
        <v>8.0</v>
      </c>
      <c r="J137" s="171">
        <v>0.0315</v>
      </c>
      <c r="K137" s="180">
        <v>0.0057</v>
      </c>
      <c r="L137" s="180">
        <v>0.0052</v>
      </c>
      <c r="M137" s="193">
        <v>3.686</v>
      </c>
      <c r="N137" s="194">
        <v>1.64</v>
      </c>
      <c r="O137" s="196">
        <v>9.83</v>
      </c>
      <c r="P137" s="175">
        <v>1.18558646739452</v>
      </c>
      <c r="Q137" s="175">
        <v>4.67059818077737</v>
      </c>
      <c r="R137" s="177">
        <v>1.19228408207668</v>
      </c>
      <c r="S137" s="177">
        <v>1.20062266648933</v>
      </c>
      <c r="T137" s="177"/>
      <c r="U137" s="177"/>
      <c r="V137" s="175">
        <v>1.91913649279366</v>
      </c>
      <c r="W137" s="175">
        <v>7.35960850359566</v>
      </c>
      <c r="X137" s="177">
        <v>1.27114619553917</v>
      </c>
      <c r="Y137" s="177">
        <v>1.29351256534654</v>
      </c>
      <c r="Z137" s="177"/>
      <c r="AA137" s="177"/>
      <c r="AB137" s="175">
        <v>1.66025165850798</v>
      </c>
      <c r="AC137" s="175">
        <v>6.34806604728168</v>
      </c>
      <c r="AD137" s="177">
        <v>1.17439861655462</v>
      </c>
      <c r="AE137" s="177">
        <v>1.1762338489411</v>
      </c>
      <c r="AF137" s="177"/>
      <c r="AG137" s="177"/>
      <c r="AH137" s="175">
        <v>0.738714269264475</v>
      </c>
      <c r="AI137" s="175">
        <v>3.00026263032479</v>
      </c>
      <c r="AJ137" s="177">
        <v>1.19638038887425</v>
      </c>
      <c r="AK137" s="177">
        <v>1.22188779824845</v>
      </c>
      <c r="AL137" s="177"/>
      <c r="AM137" s="177"/>
      <c r="AN137" s="26">
        <f t="shared" si="40"/>
        <v>3.360278031</v>
      </c>
      <c r="AO137" s="27">
        <f t="shared" si="41"/>
        <v>1.21580827</v>
      </c>
      <c r="AP137" s="27">
        <f t="shared" si="42"/>
        <v>69.66068258</v>
      </c>
      <c r="AQ137" s="164"/>
      <c r="AR137" s="164"/>
      <c r="AS137" s="38"/>
      <c r="AT137" s="38"/>
      <c r="AU137" s="38"/>
      <c r="AV137" s="38"/>
      <c r="AW137" s="38"/>
      <c r="AX137" s="178"/>
    </row>
    <row r="138" hidden="1">
      <c r="A138" s="6"/>
      <c r="B138" s="167" t="b">
        <v>1</v>
      </c>
      <c r="C138" s="21" t="s">
        <v>36</v>
      </c>
      <c r="D138" s="168" t="s">
        <v>37</v>
      </c>
      <c r="E138" s="179" t="s">
        <v>36</v>
      </c>
      <c r="F138" s="22" t="s">
        <v>41</v>
      </c>
      <c r="G138" s="170">
        <v>16.0</v>
      </c>
      <c r="H138" s="168" t="s">
        <v>39</v>
      </c>
      <c r="I138" s="168">
        <v>8.0</v>
      </c>
      <c r="J138" s="171">
        <v>0.3072</v>
      </c>
      <c r="K138" s="189">
        <v>0.0147</v>
      </c>
      <c r="L138" s="189">
        <v>0.0759</v>
      </c>
      <c r="M138" s="193">
        <v>9.437</v>
      </c>
      <c r="N138" s="194">
        <v>4.213</v>
      </c>
      <c r="O138" s="161">
        <v>24.379</v>
      </c>
      <c r="P138" s="175">
        <v>0.917741398655522</v>
      </c>
      <c r="Q138" s="175">
        <v>3.59996733376516</v>
      </c>
      <c r="R138" s="177">
        <v>0.482944459500167</v>
      </c>
      <c r="S138" s="177">
        <v>0.45435719511769</v>
      </c>
      <c r="T138" s="177"/>
      <c r="U138" s="177"/>
      <c r="V138" s="175">
        <v>1.47816949615721</v>
      </c>
      <c r="W138" s="175">
        <v>5.659621200007</v>
      </c>
      <c r="X138" s="177">
        <v>0.548938471931441</v>
      </c>
      <c r="Y138" s="177">
        <v>0.541219614516218</v>
      </c>
      <c r="Z138" s="177"/>
      <c r="AA138" s="177"/>
      <c r="AB138" s="175">
        <v>1.22535584763418</v>
      </c>
      <c r="AC138" s="175">
        <v>4.7228591127562</v>
      </c>
      <c r="AD138" s="177">
        <v>0.486723337482316</v>
      </c>
      <c r="AE138" s="177">
        <v>0.459577384711687</v>
      </c>
      <c r="AF138" s="177"/>
      <c r="AG138" s="177"/>
      <c r="AH138" s="175">
        <v>0.547457293096967</v>
      </c>
      <c r="AI138" s="175">
        <v>2.19729141290811</v>
      </c>
      <c r="AJ138" s="177">
        <v>0.881233413319511</v>
      </c>
      <c r="AK138" s="177">
        <v>0.902041317220225</v>
      </c>
      <c r="AL138" s="177"/>
      <c r="AM138" s="177"/>
      <c r="AN138" s="26">
        <f t="shared" si="40"/>
        <v>2.543557887</v>
      </c>
      <c r="AO138" s="27">
        <f t="shared" si="41"/>
        <v>0.5946293992</v>
      </c>
      <c r="AP138" s="27">
        <f t="shared" si="42"/>
        <v>34.06975495</v>
      </c>
      <c r="AQ138" s="164"/>
      <c r="AR138" s="164"/>
      <c r="AS138" s="8"/>
      <c r="AT138" s="8"/>
      <c r="AU138" s="8"/>
      <c r="AV138" s="8"/>
      <c r="AW138" s="8"/>
      <c r="AX138" s="165"/>
    </row>
    <row r="139" hidden="1">
      <c r="A139" s="6"/>
      <c r="B139" s="167" t="b">
        <v>1</v>
      </c>
      <c r="C139" s="21" t="s">
        <v>36</v>
      </c>
      <c r="D139" s="168" t="s">
        <v>37</v>
      </c>
      <c r="E139" s="179" t="s">
        <v>36</v>
      </c>
      <c r="F139" s="22" t="s">
        <v>41</v>
      </c>
      <c r="G139" s="179">
        <v>8.0</v>
      </c>
      <c r="H139" s="168" t="s">
        <v>39</v>
      </c>
      <c r="I139" s="168">
        <v>8.0</v>
      </c>
      <c r="J139" s="171">
        <v>0.0781</v>
      </c>
      <c r="K139" s="189">
        <v>0.0073</v>
      </c>
      <c r="L139" s="189">
        <v>0.0195</v>
      </c>
      <c r="M139" s="193">
        <v>4.719</v>
      </c>
      <c r="N139" s="194">
        <v>2.102</v>
      </c>
      <c r="O139" s="161">
        <v>12.321</v>
      </c>
      <c r="P139" s="175">
        <v>0.976167989374518</v>
      </c>
      <c r="Q139" s="175">
        <v>3.8507437110497</v>
      </c>
      <c r="R139" s="177">
        <v>0.656564667993278</v>
      </c>
      <c r="S139" s="177">
        <v>0.633175741097379</v>
      </c>
      <c r="T139" s="177"/>
      <c r="U139" s="177"/>
      <c r="V139" s="175">
        <v>1.64531306436941</v>
      </c>
      <c r="W139" s="175">
        <v>6.3674765720444</v>
      </c>
      <c r="X139" s="177">
        <v>0.804239860647691</v>
      </c>
      <c r="Y139" s="177">
        <v>0.80627128597873</v>
      </c>
      <c r="Z139" s="177"/>
      <c r="AA139" s="177"/>
      <c r="AB139" s="175">
        <v>1.38422351560781</v>
      </c>
      <c r="AC139" s="175">
        <v>5.35633798824601</v>
      </c>
      <c r="AD139" s="177">
        <v>0.711880416182272</v>
      </c>
      <c r="AE139" s="177">
        <v>0.689811078487484</v>
      </c>
      <c r="AF139" s="177"/>
      <c r="AG139" s="177"/>
      <c r="AH139" s="175">
        <v>0.624983059454233</v>
      </c>
      <c r="AI139" s="175">
        <v>2.50436949038307</v>
      </c>
      <c r="AJ139" s="177">
        <v>0.913021863527245</v>
      </c>
      <c r="AK139" s="177">
        <v>0.911978977531068</v>
      </c>
      <c r="AL139" s="177"/>
      <c r="AM139" s="177"/>
      <c r="AN139" s="26">
        <f t="shared" si="40"/>
        <v>2.838701924</v>
      </c>
      <c r="AO139" s="27">
        <f t="shared" si="41"/>
        <v>0.7658679864</v>
      </c>
      <c r="AP139" s="27">
        <f t="shared" si="42"/>
        <v>43.88100329</v>
      </c>
      <c r="AQ139" s="164"/>
      <c r="AR139" s="164"/>
      <c r="AS139" s="8"/>
      <c r="AT139" s="8"/>
      <c r="AU139" s="8"/>
      <c r="AV139" s="8"/>
      <c r="AW139" s="8"/>
      <c r="AX139" s="165"/>
    </row>
    <row r="140" hidden="1">
      <c r="A140" s="15"/>
      <c r="B140" s="167" t="b">
        <v>1</v>
      </c>
      <c r="C140" s="21" t="s">
        <v>36</v>
      </c>
      <c r="D140" s="168" t="s">
        <v>37</v>
      </c>
      <c r="E140" s="179" t="s">
        <v>36</v>
      </c>
      <c r="F140" s="22" t="s">
        <v>41</v>
      </c>
      <c r="G140" s="179">
        <v>4.0</v>
      </c>
      <c r="H140" s="168" t="s">
        <v>39</v>
      </c>
      <c r="I140" s="168">
        <v>8.0</v>
      </c>
      <c r="J140" s="171">
        <v>0.0202</v>
      </c>
      <c r="K140" s="189">
        <v>0.0037</v>
      </c>
      <c r="L140" s="189">
        <v>0.0052</v>
      </c>
      <c r="M140" s="193">
        <v>2.359</v>
      </c>
      <c r="N140" s="194">
        <v>1.05</v>
      </c>
      <c r="O140" s="161">
        <v>6.291</v>
      </c>
      <c r="P140" s="175">
        <v>1.15904094870465</v>
      </c>
      <c r="Q140" s="175">
        <v>4.58521190363775</v>
      </c>
      <c r="R140" s="177">
        <v>1.20303196526351</v>
      </c>
      <c r="S140" s="177">
        <v>1.21074881287234</v>
      </c>
      <c r="T140" s="177"/>
      <c r="U140" s="177"/>
      <c r="V140" s="175">
        <v>1.85112738762318</v>
      </c>
      <c r="W140" s="175">
        <v>7.16207426521038</v>
      </c>
      <c r="X140" s="177">
        <v>1.26374675465356</v>
      </c>
      <c r="Y140" s="177">
        <v>1.26970081628834</v>
      </c>
      <c r="Z140" s="177"/>
      <c r="AA140" s="177"/>
      <c r="AB140" s="175">
        <v>1.59316918727733</v>
      </c>
      <c r="AC140" s="175">
        <v>6.17802169345381</v>
      </c>
      <c r="AD140" s="177">
        <v>1.15553067300538</v>
      </c>
      <c r="AE140" s="177">
        <v>1.15299256517044</v>
      </c>
      <c r="AF140" s="177"/>
      <c r="AG140" s="177"/>
      <c r="AH140" s="175">
        <v>0.727867860265462</v>
      </c>
      <c r="AI140" s="175">
        <v>2.95539540773448</v>
      </c>
      <c r="AJ140" s="177">
        <v>1.25057174486207</v>
      </c>
      <c r="AK140" s="177">
        <v>1.28564656381142</v>
      </c>
      <c r="AL140" s="177"/>
      <c r="AM140" s="177"/>
      <c r="AN140" s="26">
        <f t="shared" si="40"/>
        <v>3.276488582</v>
      </c>
      <c r="AO140" s="27">
        <f t="shared" si="41"/>
        <v>1.223996237</v>
      </c>
      <c r="AP140" s="27">
        <f t="shared" si="42"/>
        <v>70.12981852</v>
      </c>
      <c r="AQ140" s="164"/>
      <c r="AR140" s="164"/>
      <c r="AS140" s="8"/>
      <c r="AT140" s="8"/>
      <c r="AU140" s="8"/>
      <c r="AV140" s="8"/>
      <c r="AW140" s="8"/>
      <c r="AX140" s="165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197" t="s">
        <v>93</v>
      </c>
      <c r="AT142" s="197" t="s">
        <v>94</v>
      </c>
      <c r="AU142" s="197" t="s">
        <v>95</v>
      </c>
      <c r="AV142" s="8"/>
      <c r="AW142" s="8"/>
      <c r="A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198">
        <f t="shared" ref="AS143:AU143" si="43">AVERAGE(AS76:AS103,AS72:AS75)</f>
        <v>-0.5808319605</v>
      </c>
      <c r="AT143" s="198">
        <f t="shared" si="43"/>
        <v>0.1984422801</v>
      </c>
      <c r="AU143" s="198">
        <f t="shared" si="43"/>
        <v>-2.408658817</v>
      </c>
      <c r="AV143" s="8"/>
      <c r="AW143" s="8"/>
      <c r="A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</row>
  </sheetData>
  <mergeCells count="142">
    <mergeCell ref="AJ3:AK3"/>
    <mergeCell ref="AL3:AM3"/>
    <mergeCell ref="AN3:AN4"/>
    <mergeCell ref="AO3:AO4"/>
    <mergeCell ref="AP3:AP4"/>
    <mergeCell ref="AQ3:AQ4"/>
    <mergeCell ref="O1:O4"/>
    <mergeCell ref="P1:AR1"/>
    <mergeCell ref="P2:U2"/>
    <mergeCell ref="V2:AA2"/>
    <mergeCell ref="AB2:AG2"/>
    <mergeCell ref="AH2:AM2"/>
    <mergeCell ref="AN2:AR2"/>
    <mergeCell ref="AR3:AR4"/>
    <mergeCell ref="B39:B62"/>
    <mergeCell ref="C39:C62"/>
    <mergeCell ref="D39:D62"/>
    <mergeCell ref="F39:F62"/>
    <mergeCell ref="G39:G41"/>
    <mergeCell ref="H39:H62"/>
    <mergeCell ref="G42:G44"/>
    <mergeCell ref="A42:A44"/>
    <mergeCell ref="A45:A47"/>
    <mergeCell ref="A48:A50"/>
    <mergeCell ref="A51:A53"/>
    <mergeCell ref="A54:A56"/>
    <mergeCell ref="A57:A59"/>
    <mergeCell ref="A60:A62"/>
    <mergeCell ref="H13:H21"/>
    <mergeCell ref="H23:H30"/>
    <mergeCell ref="H69:H103"/>
    <mergeCell ref="I23:I26"/>
    <mergeCell ref="I27:I30"/>
    <mergeCell ref="I39:I50"/>
    <mergeCell ref="I51:I62"/>
    <mergeCell ref="I69:I87"/>
    <mergeCell ref="I88:I103"/>
    <mergeCell ref="E1:E4"/>
    <mergeCell ref="E13:E21"/>
    <mergeCell ref="I13:I17"/>
    <mergeCell ref="C14:C21"/>
    <mergeCell ref="I18:I21"/>
    <mergeCell ref="C23:C30"/>
    <mergeCell ref="E23:E30"/>
    <mergeCell ref="G45:G47"/>
    <mergeCell ref="G48:G50"/>
    <mergeCell ref="G51:G53"/>
    <mergeCell ref="G54:G56"/>
    <mergeCell ref="A76:A79"/>
    <mergeCell ref="A80:A83"/>
    <mergeCell ref="G92:G95"/>
    <mergeCell ref="G96:G99"/>
    <mergeCell ref="G100:G103"/>
    <mergeCell ref="G57:G59"/>
    <mergeCell ref="G60:G62"/>
    <mergeCell ref="G69:G75"/>
    <mergeCell ref="G76:G79"/>
    <mergeCell ref="G80:G83"/>
    <mergeCell ref="G84:G87"/>
    <mergeCell ref="G88:G91"/>
    <mergeCell ref="F81:F83"/>
    <mergeCell ref="F85:F87"/>
    <mergeCell ref="A64:AX64"/>
    <mergeCell ref="A68:AP68"/>
    <mergeCell ref="AV73:AV75"/>
    <mergeCell ref="AV76:AV79"/>
    <mergeCell ref="F77:F79"/>
    <mergeCell ref="AV80:AV83"/>
    <mergeCell ref="AV84:AV87"/>
    <mergeCell ref="A127:AX127"/>
    <mergeCell ref="A134:AX134"/>
    <mergeCell ref="AV88:AV91"/>
    <mergeCell ref="AV92:AV95"/>
    <mergeCell ref="AV96:AV99"/>
    <mergeCell ref="AV100:AV103"/>
    <mergeCell ref="A105:AX105"/>
    <mergeCell ref="A112:AX112"/>
    <mergeCell ref="A124:AX124"/>
    <mergeCell ref="H1:H4"/>
    <mergeCell ref="I1:I4"/>
    <mergeCell ref="J1:J4"/>
    <mergeCell ref="K1:K4"/>
    <mergeCell ref="L1:L4"/>
    <mergeCell ref="M1:M4"/>
    <mergeCell ref="N1:N4"/>
    <mergeCell ref="P3:Q3"/>
    <mergeCell ref="R3:S3"/>
    <mergeCell ref="T3:U3"/>
    <mergeCell ref="V3:W3"/>
    <mergeCell ref="X3:Y3"/>
    <mergeCell ref="Z3:AA3"/>
    <mergeCell ref="AB3:AC3"/>
    <mergeCell ref="AD3:AE3"/>
    <mergeCell ref="A1:A4"/>
    <mergeCell ref="B1:B4"/>
    <mergeCell ref="C1:C4"/>
    <mergeCell ref="D1:D4"/>
    <mergeCell ref="F1:F4"/>
    <mergeCell ref="G1:G4"/>
    <mergeCell ref="A5:A10"/>
    <mergeCell ref="AF3:AG3"/>
    <mergeCell ref="AH3:AI3"/>
    <mergeCell ref="A12:AX12"/>
    <mergeCell ref="A32:AX32"/>
    <mergeCell ref="A35:AX35"/>
    <mergeCell ref="A38:AX38"/>
    <mergeCell ref="A39:A41"/>
    <mergeCell ref="C100:C103"/>
    <mergeCell ref="F101:F103"/>
    <mergeCell ref="C69:C75"/>
    <mergeCell ref="D72:D75"/>
    <mergeCell ref="F73:F75"/>
    <mergeCell ref="C76:C79"/>
    <mergeCell ref="D76:D103"/>
    <mergeCell ref="C84:C87"/>
    <mergeCell ref="C92:C95"/>
    <mergeCell ref="B80:B83"/>
    <mergeCell ref="C80:C83"/>
    <mergeCell ref="A84:A87"/>
    <mergeCell ref="B84:B87"/>
    <mergeCell ref="B88:B91"/>
    <mergeCell ref="C88:C91"/>
    <mergeCell ref="B76:B79"/>
    <mergeCell ref="B92:B95"/>
    <mergeCell ref="B96:B99"/>
    <mergeCell ref="B100:B103"/>
    <mergeCell ref="F89:F91"/>
    <mergeCell ref="F93:F95"/>
    <mergeCell ref="C96:C99"/>
    <mergeCell ref="F97:F99"/>
    <mergeCell ref="A113:A119"/>
    <mergeCell ref="A121:A123"/>
    <mergeCell ref="A128:A130"/>
    <mergeCell ref="A131:A133"/>
    <mergeCell ref="A135:A140"/>
    <mergeCell ref="A69:A75"/>
    <mergeCell ref="A88:A91"/>
    <mergeCell ref="A92:A95"/>
    <mergeCell ref="A96:A99"/>
    <mergeCell ref="A100:A103"/>
    <mergeCell ref="A106:A108"/>
    <mergeCell ref="A109:A111"/>
  </mergeCells>
  <conditionalFormatting sqref="AS72:AU103">
    <cfRule type="colorScale" priority="1">
      <colorScale>
        <cfvo type="min"/>
        <cfvo type="formula" val="0"/>
        <cfvo type="max"/>
        <color rgb="FF57BB8A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  <col customWidth="1" min="8" max="8" width="21.13"/>
    <col customWidth="1" min="9" max="11" width="15.75"/>
    <col customWidth="1" hidden="1" min="12" max="12" width="20.88"/>
    <col customWidth="1" min="13" max="14" width="15.75"/>
    <col customWidth="1" min="15" max="15" width="21.13"/>
    <col customWidth="1" min="16" max="16" width="23.5"/>
    <col customWidth="1" min="17" max="17" width="23.88"/>
    <col customWidth="1" min="18" max="21" width="15.75"/>
    <col customWidth="1" min="22" max="22" width="7.63"/>
    <col customWidth="1" min="23" max="23" width="7.13"/>
    <col customWidth="1" min="24" max="24" width="17.13"/>
    <col customWidth="1" min="25" max="25" width="14.13"/>
    <col customWidth="1" min="26" max="26" width="19.13"/>
    <col customWidth="1" min="27" max="34" width="15.75"/>
  </cols>
  <sheetData>
    <row r="1" ht="42.0" customHeight="1">
      <c r="A1" s="199" t="s">
        <v>0</v>
      </c>
      <c r="B1" s="199" t="s">
        <v>96</v>
      </c>
      <c r="C1" s="199" t="s">
        <v>97</v>
      </c>
      <c r="D1" s="199" t="s">
        <v>98</v>
      </c>
      <c r="E1" s="199" t="s">
        <v>99</v>
      </c>
      <c r="F1" s="199" t="s">
        <v>100</v>
      </c>
      <c r="G1" s="199" t="s">
        <v>101</v>
      </c>
      <c r="H1" s="199" t="s">
        <v>102</v>
      </c>
      <c r="I1" s="200" t="s">
        <v>103</v>
      </c>
      <c r="J1" s="3"/>
      <c r="K1" s="4"/>
      <c r="L1" s="199" t="s">
        <v>104</v>
      </c>
      <c r="M1" s="199" t="s">
        <v>105</v>
      </c>
      <c r="N1" s="199" t="s">
        <v>106</v>
      </c>
      <c r="O1" s="199" t="s">
        <v>107</v>
      </c>
      <c r="P1" s="199" t="s">
        <v>108</v>
      </c>
      <c r="Q1" s="199" t="s">
        <v>109</v>
      </c>
      <c r="R1" s="201" t="s">
        <v>110</v>
      </c>
      <c r="S1" s="202" t="s">
        <v>111</v>
      </c>
      <c r="T1" s="202" t="s">
        <v>112</v>
      </c>
      <c r="U1" s="203" t="s">
        <v>113</v>
      </c>
      <c r="V1" s="199" t="s">
        <v>114</v>
      </c>
      <c r="W1" s="199" t="s">
        <v>115</v>
      </c>
      <c r="X1" s="199" t="s">
        <v>116</v>
      </c>
      <c r="Y1" s="199" t="s">
        <v>117</v>
      </c>
      <c r="Z1" s="199" t="s">
        <v>118</v>
      </c>
      <c r="AD1" s="204"/>
      <c r="AE1" s="204"/>
      <c r="AF1" s="204"/>
      <c r="AG1" s="204"/>
      <c r="AH1" s="204"/>
      <c r="AI1" s="204"/>
    </row>
    <row r="2" ht="66.75" customHeight="1">
      <c r="A2" s="15"/>
      <c r="B2" s="15"/>
      <c r="C2" s="15"/>
      <c r="D2" s="15"/>
      <c r="E2" s="15"/>
      <c r="F2" s="15"/>
      <c r="G2" s="15"/>
      <c r="H2" s="15"/>
      <c r="I2" s="205" t="s">
        <v>119</v>
      </c>
      <c r="J2" s="205" t="s">
        <v>120</v>
      </c>
      <c r="K2" s="205" t="s">
        <v>121</v>
      </c>
      <c r="L2" s="15"/>
      <c r="M2" s="15"/>
      <c r="N2" s="15"/>
      <c r="O2" s="15"/>
      <c r="P2" s="15"/>
      <c r="Q2" s="15"/>
      <c r="R2" s="15"/>
      <c r="S2" s="15"/>
      <c r="T2" s="15"/>
      <c r="V2" s="15"/>
      <c r="W2" s="15"/>
      <c r="X2" s="15"/>
      <c r="Y2" s="15"/>
      <c r="Z2" s="15"/>
      <c r="AD2" s="204"/>
      <c r="AE2" s="204"/>
      <c r="AF2" s="204"/>
      <c r="AG2" s="204"/>
      <c r="AH2" s="204"/>
      <c r="AI2" s="204"/>
    </row>
    <row r="3" ht="37.5" customHeight="1">
      <c r="A3" s="206" t="s">
        <v>122</v>
      </c>
      <c r="B3" s="206" t="s">
        <v>38</v>
      </c>
      <c r="C3" s="207">
        <v>32.0</v>
      </c>
      <c r="D3" s="208" t="b">
        <v>1</v>
      </c>
      <c r="E3" s="208" t="b">
        <v>0</v>
      </c>
      <c r="F3" s="209" t="s">
        <v>123</v>
      </c>
      <c r="G3" s="210" t="s">
        <v>124</v>
      </c>
      <c r="H3" s="210">
        <v>7350.517</v>
      </c>
      <c r="I3" s="211">
        <v>152.269</v>
      </c>
      <c r="J3" s="210">
        <v>76.771</v>
      </c>
      <c r="K3" s="210">
        <v>75.497</v>
      </c>
      <c r="L3" s="212">
        <f t="shared" ref="L3:L34" si="1">I3/4</f>
        <v>38.06725</v>
      </c>
      <c r="M3" s="213" t="s">
        <v>37</v>
      </c>
      <c r="N3" s="213" t="s">
        <v>37</v>
      </c>
      <c r="O3" s="214">
        <v>370.0</v>
      </c>
      <c r="P3" s="215" t="s">
        <v>37</v>
      </c>
      <c r="Q3" s="215" t="s">
        <v>37</v>
      </c>
      <c r="R3" s="216">
        <v>2.7</v>
      </c>
      <c r="S3" s="217">
        <v>0.41</v>
      </c>
      <c r="T3" s="218">
        <v>24.0</v>
      </c>
      <c r="U3" s="219" t="s">
        <v>37</v>
      </c>
      <c r="V3" s="220" t="s">
        <v>37</v>
      </c>
      <c r="W3" s="220" t="s">
        <v>37</v>
      </c>
      <c r="X3" s="221">
        <v>32.0</v>
      </c>
      <c r="Y3" s="222">
        <v>1.5</v>
      </c>
      <c r="Z3" s="223">
        <v>128.0</v>
      </c>
      <c r="AD3" s="204"/>
      <c r="AE3" s="204"/>
      <c r="AF3" s="204"/>
      <c r="AG3" s="204"/>
      <c r="AH3" s="204"/>
      <c r="AI3" s="204"/>
    </row>
    <row r="4" ht="37.5" customHeight="1">
      <c r="A4" s="6"/>
      <c r="B4" s="6"/>
      <c r="C4" s="207">
        <v>16.0</v>
      </c>
      <c r="D4" s="208" t="b">
        <v>1</v>
      </c>
      <c r="E4" s="208" t="b">
        <v>0</v>
      </c>
      <c r="F4" s="6"/>
      <c r="G4" s="210" t="s">
        <v>124</v>
      </c>
      <c r="H4" s="210">
        <v>1863.319</v>
      </c>
      <c r="I4" s="211">
        <v>76.603</v>
      </c>
      <c r="J4" s="210">
        <v>38.854</v>
      </c>
      <c r="K4" s="210">
        <v>37.748</v>
      </c>
      <c r="L4" s="212">
        <f t="shared" si="1"/>
        <v>19.15075</v>
      </c>
      <c r="M4" s="213" t="s">
        <v>37</v>
      </c>
      <c r="N4" s="213" t="s">
        <v>37</v>
      </c>
      <c r="O4" s="6"/>
      <c r="P4" s="215" t="s">
        <v>37</v>
      </c>
      <c r="Q4" s="215" t="s">
        <v>37</v>
      </c>
      <c r="R4" s="216">
        <v>2.91</v>
      </c>
      <c r="S4" s="217">
        <v>0.51</v>
      </c>
      <c r="T4" s="218">
        <v>29.0</v>
      </c>
      <c r="U4" s="224">
        <f t="shared" ref="U4:U34" si="2">(T4-$T$3)/$T$3*100</f>
        <v>20.83333333</v>
      </c>
      <c r="V4" s="225" t="s">
        <v>37</v>
      </c>
      <c r="W4" s="226" t="s">
        <v>37</v>
      </c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</row>
    <row r="5" ht="37.5" customHeight="1">
      <c r="A5" s="6"/>
      <c r="B5" s="6"/>
      <c r="C5" s="207">
        <v>8.0</v>
      </c>
      <c r="D5" s="208" t="b">
        <v>1</v>
      </c>
      <c r="E5" s="208" t="b">
        <v>0</v>
      </c>
      <c r="F5" s="6"/>
      <c r="G5" s="210" t="s">
        <v>124</v>
      </c>
      <c r="H5" s="210">
        <v>478.674</v>
      </c>
      <c r="I5" s="211">
        <v>38.812</v>
      </c>
      <c r="J5" s="210">
        <v>19.937</v>
      </c>
      <c r="K5" s="210">
        <v>18.874</v>
      </c>
      <c r="L5" s="212">
        <f t="shared" si="1"/>
        <v>9.703</v>
      </c>
      <c r="M5" s="213" t="s">
        <v>37</v>
      </c>
      <c r="N5" s="213">
        <v>983.567</v>
      </c>
      <c r="O5" s="6"/>
      <c r="P5" s="215" t="s">
        <v>37</v>
      </c>
      <c r="Q5" s="215">
        <f t="shared" ref="Q5:Q18" si="3">1/(N5/O$3)</f>
        <v>0.3761817954</v>
      </c>
      <c r="R5" s="216">
        <v>3.21</v>
      </c>
      <c r="S5" s="217">
        <v>0.72</v>
      </c>
      <c r="T5" s="218">
        <v>41.0</v>
      </c>
      <c r="U5" s="224">
        <f t="shared" si="2"/>
        <v>70.83333333</v>
      </c>
      <c r="V5" s="225">
        <f t="shared" ref="V5:V13" si="4">H5/N5</f>
        <v>0.4866714723</v>
      </c>
      <c r="W5" s="225">
        <f t="shared" ref="W5:W13" si="5">N5/H5</f>
        <v>2.05477423</v>
      </c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</row>
    <row r="6" ht="37.5" customHeight="1">
      <c r="A6" s="6"/>
      <c r="B6" s="15"/>
      <c r="C6" s="207">
        <v>4.0</v>
      </c>
      <c r="D6" s="208" t="b">
        <v>1</v>
      </c>
      <c r="E6" s="208" t="b">
        <v>0</v>
      </c>
      <c r="F6" s="6"/>
      <c r="G6" s="210" t="s">
        <v>124</v>
      </c>
      <c r="H6" s="210">
        <v>126.091</v>
      </c>
      <c r="I6" s="211">
        <v>19.926</v>
      </c>
      <c r="J6" s="210">
        <v>10.489</v>
      </c>
      <c r="K6" s="210">
        <v>9.437</v>
      </c>
      <c r="L6" s="212">
        <f t="shared" si="1"/>
        <v>4.9815</v>
      </c>
      <c r="M6" s="213" t="s">
        <v>37</v>
      </c>
      <c r="N6" s="213">
        <v>1821.571</v>
      </c>
      <c r="O6" s="6"/>
      <c r="P6" s="215" t="s">
        <v>37</v>
      </c>
      <c r="Q6" s="215">
        <f t="shared" si="3"/>
        <v>0.2031213716</v>
      </c>
      <c r="R6" s="216">
        <v>3.44</v>
      </c>
      <c r="S6" s="217">
        <v>1.05</v>
      </c>
      <c r="T6" s="218">
        <v>60.0</v>
      </c>
      <c r="U6" s="224">
        <f t="shared" si="2"/>
        <v>150</v>
      </c>
      <c r="V6" s="225">
        <f t="shared" si="4"/>
        <v>0.06922101856</v>
      </c>
      <c r="W6" s="225">
        <f t="shared" si="5"/>
        <v>14.44647913</v>
      </c>
      <c r="X6" s="227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</row>
    <row r="7" ht="37.5" customHeight="1">
      <c r="A7" s="6"/>
      <c r="B7" s="206" t="s">
        <v>36</v>
      </c>
      <c r="C7" s="207">
        <v>32.0</v>
      </c>
      <c r="D7" s="208" t="b">
        <v>1</v>
      </c>
      <c r="E7" s="208" t="b">
        <v>0</v>
      </c>
      <c r="F7" s="6"/>
      <c r="G7" s="210" t="s">
        <v>124</v>
      </c>
      <c r="H7" s="210">
        <v>1837.629</v>
      </c>
      <c r="I7" s="211">
        <v>38.236</v>
      </c>
      <c r="J7" s="210">
        <v>19.362</v>
      </c>
      <c r="K7" s="210">
        <v>18.874</v>
      </c>
      <c r="L7" s="212">
        <f t="shared" si="1"/>
        <v>9.559</v>
      </c>
      <c r="M7" s="213" t="s">
        <v>37</v>
      </c>
      <c r="N7" s="213">
        <v>3239.881</v>
      </c>
      <c r="O7" s="6"/>
      <c r="P7" s="215" t="s">
        <v>37</v>
      </c>
      <c r="Q7" s="215">
        <f t="shared" si="3"/>
        <v>0.1142017253</v>
      </c>
      <c r="R7" s="228">
        <v>2.44</v>
      </c>
      <c r="S7" s="229">
        <v>0.52</v>
      </c>
      <c r="T7" s="230">
        <v>30.0</v>
      </c>
      <c r="U7" s="224">
        <f t="shared" si="2"/>
        <v>25</v>
      </c>
      <c r="V7" s="225">
        <f t="shared" si="4"/>
        <v>0.5671902764</v>
      </c>
      <c r="W7" s="225">
        <f t="shared" si="5"/>
        <v>1.763076769</v>
      </c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</row>
    <row r="8" ht="37.5" customHeight="1">
      <c r="A8" s="6"/>
      <c r="B8" s="6"/>
      <c r="C8" s="207">
        <v>16.0</v>
      </c>
      <c r="D8" s="208" t="b">
        <v>1</v>
      </c>
      <c r="E8" s="208" t="b">
        <v>0</v>
      </c>
      <c r="F8" s="6"/>
      <c r="G8" s="210" t="s">
        <v>124</v>
      </c>
      <c r="H8" s="210">
        <v>465.829</v>
      </c>
      <c r="I8" s="211">
        <v>19.193</v>
      </c>
      <c r="J8" s="210">
        <v>9.756</v>
      </c>
      <c r="K8" s="210">
        <v>9.437</v>
      </c>
      <c r="L8" s="212">
        <f t="shared" si="1"/>
        <v>4.79825</v>
      </c>
      <c r="M8" s="213" t="s">
        <v>37</v>
      </c>
      <c r="N8" s="213">
        <v>1207.42</v>
      </c>
      <c r="O8" s="6"/>
      <c r="P8" s="215" t="s">
        <v>37</v>
      </c>
      <c r="Q8" s="215">
        <f t="shared" si="3"/>
        <v>0.3064385218</v>
      </c>
      <c r="R8" s="228">
        <v>2.74</v>
      </c>
      <c r="S8" s="229">
        <v>0.68</v>
      </c>
      <c r="T8" s="230">
        <v>39.0</v>
      </c>
      <c r="U8" s="224">
        <f t="shared" si="2"/>
        <v>62.5</v>
      </c>
      <c r="V8" s="225">
        <f t="shared" si="4"/>
        <v>0.3858052707</v>
      </c>
      <c r="W8" s="225">
        <f t="shared" si="5"/>
        <v>2.591981178</v>
      </c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</row>
    <row r="9" ht="37.5" customHeight="1">
      <c r="A9" s="6"/>
      <c r="B9" s="6"/>
      <c r="C9" s="207">
        <v>8.0</v>
      </c>
      <c r="D9" s="208" t="b">
        <v>1</v>
      </c>
      <c r="E9" s="208" t="b">
        <v>0</v>
      </c>
      <c r="F9" s="6"/>
      <c r="G9" s="210" t="s">
        <v>124</v>
      </c>
      <c r="H9" s="210">
        <v>119.668</v>
      </c>
      <c r="I9" s="211">
        <v>9.714</v>
      </c>
      <c r="J9" s="210">
        <v>4.995</v>
      </c>
      <c r="K9" s="210">
        <v>4.718</v>
      </c>
      <c r="L9" s="212">
        <f t="shared" si="1"/>
        <v>2.4285</v>
      </c>
      <c r="M9" s="213" t="s">
        <v>37</v>
      </c>
      <c r="N9" s="213">
        <v>223.393</v>
      </c>
      <c r="O9" s="6"/>
      <c r="P9" s="215" t="s">
        <v>37</v>
      </c>
      <c r="Q9" s="215">
        <f t="shared" si="3"/>
        <v>1.656273921</v>
      </c>
      <c r="R9" s="228">
        <v>3.0</v>
      </c>
      <c r="S9" s="229">
        <v>0.99</v>
      </c>
      <c r="T9" s="230">
        <v>57.0</v>
      </c>
      <c r="U9" s="224">
        <f t="shared" si="2"/>
        <v>137.5</v>
      </c>
      <c r="V9" s="225">
        <f t="shared" si="4"/>
        <v>0.5356837502</v>
      </c>
      <c r="W9" s="225">
        <f t="shared" si="5"/>
        <v>1.866773072</v>
      </c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</row>
    <row r="10" ht="37.5" customHeight="1">
      <c r="A10" s="6"/>
      <c r="B10" s="15"/>
      <c r="C10" s="207">
        <v>4.0</v>
      </c>
      <c r="D10" s="208" t="b">
        <v>1</v>
      </c>
      <c r="E10" s="208" t="b">
        <v>0</v>
      </c>
      <c r="F10" s="6"/>
      <c r="G10" s="210" t="s">
        <v>124</v>
      </c>
      <c r="H10" s="210">
        <v>31.522</v>
      </c>
      <c r="I10" s="211">
        <v>4.984</v>
      </c>
      <c r="J10" s="210">
        <v>2.625</v>
      </c>
      <c r="K10" s="210">
        <v>2.359</v>
      </c>
      <c r="L10" s="212">
        <f t="shared" si="1"/>
        <v>1.246</v>
      </c>
      <c r="M10" s="213" t="s">
        <v>37</v>
      </c>
      <c r="N10" s="213">
        <v>410.265</v>
      </c>
      <c r="O10" s="6"/>
      <c r="P10" s="215" t="s">
        <v>37</v>
      </c>
      <c r="Q10" s="215">
        <f t="shared" si="3"/>
        <v>0.9018561174</v>
      </c>
      <c r="R10" s="228">
        <v>3.12</v>
      </c>
      <c r="S10" s="229">
        <v>1.14</v>
      </c>
      <c r="T10" s="230">
        <v>65.0</v>
      </c>
      <c r="U10" s="224">
        <f t="shared" si="2"/>
        <v>170.8333333</v>
      </c>
      <c r="V10" s="225">
        <f t="shared" si="4"/>
        <v>0.0768332663</v>
      </c>
      <c r="W10" s="225">
        <f t="shared" si="5"/>
        <v>13.01519574</v>
      </c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</row>
    <row r="11" ht="37.5" customHeight="1">
      <c r="A11" s="6"/>
      <c r="B11" s="206" t="s">
        <v>65</v>
      </c>
      <c r="C11" s="207">
        <v>32.0</v>
      </c>
      <c r="D11" s="208" t="b">
        <v>1</v>
      </c>
      <c r="E11" s="208" t="b">
        <v>0</v>
      </c>
      <c r="F11" s="6"/>
      <c r="G11" s="210" t="s">
        <v>124</v>
      </c>
      <c r="H11" s="210">
        <v>459.407</v>
      </c>
      <c r="I11" s="211">
        <v>9.728</v>
      </c>
      <c r="J11" s="210">
        <v>5.009</v>
      </c>
      <c r="K11" s="210">
        <v>4.718</v>
      </c>
      <c r="L11" s="212">
        <f t="shared" si="1"/>
        <v>2.432</v>
      </c>
      <c r="M11" s="213" t="s">
        <v>37</v>
      </c>
      <c r="N11" s="213">
        <v>706.973</v>
      </c>
      <c r="O11" s="6"/>
      <c r="P11" s="215" t="s">
        <v>37</v>
      </c>
      <c r="Q11" s="215">
        <f t="shared" si="3"/>
        <v>0.5233580349</v>
      </c>
      <c r="R11" s="228">
        <v>2.68</v>
      </c>
      <c r="S11" s="229">
        <v>0.86</v>
      </c>
      <c r="T11" s="230">
        <v>49.0</v>
      </c>
      <c r="U11" s="224">
        <f t="shared" si="2"/>
        <v>104.1666667</v>
      </c>
      <c r="V11" s="225">
        <f t="shared" si="4"/>
        <v>0.6498225533</v>
      </c>
      <c r="W11" s="225">
        <f t="shared" si="5"/>
        <v>1.538881645</v>
      </c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</row>
    <row r="12" ht="37.5" customHeight="1">
      <c r="A12" s="6"/>
      <c r="B12" s="6"/>
      <c r="C12" s="207">
        <v>16.0</v>
      </c>
      <c r="D12" s="208" t="b">
        <v>1</v>
      </c>
      <c r="E12" s="208" t="b">
        <v>0</v>
      </c>
      <c r="F12" s="6"/>
      <c r="G12" s="210" t="s">
        <v>124</v>
      </c>
      <c r="H12" s="210">
        <v>116.457</v>
      </c>
      <c r="I12" s="211">
        <v>4.841</v>
      </c>
      <c r="J12" s="210">
        <v>2.482</v>
      </c>
      <c r="K12" s="210">
        <v>2.359</v>
      </c>
      <c r="L12" s="212">
        <f t="shared" si="1"/>
        <v>1.21025</v>
      </c>
      <c r="M12" s="213" t="s">
        <v>37</v>
      </c>
      <c r="N12" s="213">
        <v>224.318</v>
      </c>
      <c r="O12" s="6"/>
      <c r="P12" s="215" t="s">
        <v>37</v>
      </c>
      <c r="Q12" s="215">
        <f t="shared" si="3"/>
        <v>1.649444093</v>
      </c>
      <c r="R12" s="228">
        <v>2.97</v>
      </c>
      <c r="S12" s="229">
        <v>1.0</v>
      </c>
      <c r="T12" s="230">
        <v>57.0</v>
      </c>
      <c r="U12" s="224">
        <f t="shared" si="2"/>
        <v>137.5</v>
      </c>
      <c r="V12" s="225">
        <f t="shared" si="4"/>
        <v>0.5191602992</v>
      </c>
      <c r="W12" s="225">
        <f t="shared" si="5"/>
        <v>1.926187348</v>
      </c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</row>
    <row r="13" ht="37.5" customHeight="1">
      <c r="A13" s="6"/>
      <c r="B13" s="6"/>
      <c r="C13" s="207">
        <v>8.0</v>
      </c>
      <c r="D13" s="208" t="b">
        <v>1</v>
      </c>
      <c r="E13" s="208" t="b">
        <v>0</v>
      </c>
      <c r="F13" s="6"/>
      <c r="G13" s="210" t="s">
        <v>124</v>
      </c>
      <c r="H13" s="210">
        <v>29.917</v>
      </c>
      <c r="I13" s="211">
        <v>2.439</v>
      </c>
      <c r="J13" s="210">
        <v>1.26</v>
      </c>
      <c r="K13" s="210">
        <v>1.179</v>
      </c>
      <c r="L13" s="212">
        <f t="shared" si="1"/>
        <v>0.60975</v>
      </c>
      <c r="M13" s="213" t="s">
        <v>37</v>
      </c>
      <c r="N13" s="213">
        <v>49.477</v>
      </c>
      <c r="O13" s="6"/>
      <c r="P13" s="215" t="s">
        <v>37</v>
      </c>
      <c r="Q13" s="215">
        <f t="shared" si="3"/>
        <v>7.478222204</v>
      </c>
      <c r="R13" s="228">
        <v>3.03</v>
      </c>
      <c r="S13" s="229">
        <v>1.22</v>
      </c>
      <c r="T13" s="230">
        <v>70.0</v>
      </c>
      <c r="U13" s="224">
        <f t="shared" si="2"/>
        <v>191.6666667</v>
      </c>
      <c r="V13" s="225">
        <f t="shared" si="4"/>
        <v>0.6046647937</v>
      </c>
      <c r="W13" s="225">
        <f t="shared" si="5"/>
        <v>1.653808871</v>
      </c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</row>
    <row r="14" ht="37.5" customHeight="1">
      <c r="A14" s="6"/>
      <c r="B14" s="15"/>
      <c r="C14" s="207">
        <v>4.0</v>
      </c>
      <c r="D14" s="208" t="b">
        <v>1</v>
      </c>
      <c r="E14" s="208" t="b">
        <v>1</v>
      </c>
      <c r="F14" s="6"/>
      <c r="G14" s="231" t="s">
        <v>125</v>
      </c>
      <c r="H14" s="210">
        <v>7.88</v>
      </c>
      <c r="I14" s="211">
        <v>1.249</v>
      </c>
      <c r="J14" s="210">
        <v>0.659</v>
      </c>
      <c r="K14" s="210">
        <v>0.589</v>
      </c>
      <c r="L14" s="212">
        <f t="shared" si="1"/>
        <v>0.31225</v>
      </c>
      <c r="M14" s="213">
        <v>38.331</v>
      </c>
      <c r="N14" s="213">
        <v>46.412</v>
      </c>
      <c r="O14" s="6"/>
      <c r="P14" s="215">
        <f>1/(M14/O$3)</f>
        <v>9.652761472</v>
      </c>
      <c r="Q14" s="215">
        <f t="shared" si="3"/>
        <v>7.972076187</v>
      </c>
      <c r="R14" s="228">
        <v>3.15</v>
      </c>
      <c r="S14" s="229">
        <v>1.36</v>
      </c>
      <c r="T14" s="230">
        <v>78.0</v>
      </c>
      <c r="U14" s="224">
        <f t="shared" si="2"/>
        <v>225</v>
      </c>
      <c r="V14" s="232">
        <f>H14/M14</f>
        <v>0.2055777308</v>
      </c>
      <c r="W14" s="225">
        <f>M14/H14</f>
        <v>4.864340102</v>
      </c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</row>
    <row r="15" ht="37.5" customHeight="1">
      <c r="A15" s="6"/>
      <c r="B15" s="206" t="s">
        <v>64</v>
      </c>
      <c r="C15" s="207">
        <v>32.0</v>
      </c>
      <c r="D15" s="208" t="b">
        <v>1</v>
      </c>
      <c r="E15" s="208" t="b">
        <v>0</v>
      </c>
      <c r="F15" s="6"/>
      <c r="G15" s="210" t="s">
        <v>124</v>
      </c>
      <c r="H15" s="210">
        <v>114.851</v>
      </c>
      <c r="I15" s="211">
        <v>2.601</v>
      </c>
      <c r="J15" s="210">
        <v>1.421</v>
      </c>
      <c r="K15" s="210">
        <v>1.179</v>
      </c>
      <c r="L15" s="212">
        <f t="shared" si="1"/>
        <v>0.65025</v>
      </c>
      <c r="M15" s="213" t="s">
        <v>37</v>
      </c>
      <c r="N15" s="213">
        <v>155.72</v>
      </c>
      <c r="O15" s="6"/>
      <c r="P15" s="215" t="s">
        <v>37</v>
      </c>
      <c r="Q15" s="215">
        <f t="shared" si="3"/>
        <v>2.376059594</v>
      </c>
      <c r="R15" s="228">
        <v>2.79</v>
      </c>
      <c r="S15" s="229">
        <v>1.13</v>
      </c>
      <c r="T15" s="230">
        <v>65.0</v>
      </c>
      <c r="U15" s="224">
        <f t="shared" si="2"/>
        <v>170.8333333</v>
      </c>
      <c r="V15" s="225">
        <f>H15/N15</f>
        <v>0.7375481634</v>
      </c>
      <c r="W15" s="225">
        <f>N15/H15</f>
        <v>1.355843658</v>
      </c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</row>
    <row r="16" ht="37.5" customHeight="1">
      <c r="A16" s="6"/>
      <c r="B16" s="6"/>
      <c r="C16" s="207">
        <v>16.0</v>
      </c>
      <c r="D16" s="208" t="b">
        <v>1</v>
      </c>
      <c r="E16" s="208" t="b">
        <v>1</v>
      </c>
      <c r="F16" s="6"/>
      <c r="G16" s="231" t="s">
        <v>125</v>
      </c>
      <c r="H16" s="210">
        <v>29.114</v>
      </c>
      <c r="I16" s="211">
        <v>1.253</v>
      </c>
      <c r="J16" s="210">
        <v>0.663</v>
      </c>
      <c r="K16" s="210">
        <v>0.589</v>
      </c>
      <c r="L16" s="212">
        <f t="shared" si="1"/>
        <v>0.31325</v>
      </c>
      <c r="M16" s="213">
        <v>28.492</v>
      </c>
      <c r="N16" s="213">
        <v>47.541</v>
      </c>
      <c r="O16" s="6"/>
      <c r="P16" s="215">
        <f t="shared" ref="P16:P18" si="6">1/(M16/O$3)</f>
        <v>12.98610136</v>
      </c>
      <c r="Q16" s="215">
        <f t="shared" si="3"/>
        <v>7.782755937</v>
      </c>
      <c r="R16" s="228">
        <v>3.04</v>
      </c>
      <c r="S16" s="229">
        <v>1.24</v>
      </c>
      <c r="T16" s="230">
        <v>71.0</v>
      </c>
      <c r="U16" s="224">
        <f t="shared" si="2"/>
        <v>195.8333333</v>
      </c>
      <c r="V16" s="232">
        <f t="shared" ref="V16:V18" si="7">H16/M16</f>
        <v>1.021830689</v>
      </c>
      <c r="W16" s="225">
        <f t="shared" ref="W16:W18" si="8">M16/H16</f>
        <v>0.9786357079</v>
      </c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</row>
    <row r="17" ht="37.5" customHeight="1">
      <c r="A17" s="6"/>
      <c r="B17" s="6"/>
      <c r="C17" s="207">
        <v>8.0</v>
      </c>
      <c r="D17" s="208" t="b">
        <v>1</v>
      </c>
      <c r="E17" s="208" t="b">
        <v>1</v>
      </c>
      <c r="F17" s="6"/>
      <c r="G17" s="231" t="s">
        <v>125</v>
      </c>
      <c r="H17" s="210">
        <v>7.479</v>
      </c>
      <c r="I17" s="211">
        <v>0.621</v>
      </c>
      <c r="J17" s="210">
        <v>0.326</v>
      </c>
      <c r="K17" s="210">
        <v>0.294</v>
      </c>
      <c r="L17" s="212">
        <f t="shared" si="1"/>
        <v>0.15525</v>
      </c>
      <c r="M17" s="213">
        <v>8.483</v>
      </c>
      <c r="N17" s="213">
        <v>11.599</v>
      </c>
      <c r="O17" s="6"/>
      <c r="P17" s="215">
        <f t="shared" si="6"/>
        <v>43.61664505</v>
      </c>
      <c r="Q17" s="215">
        <f t="shared" si="3"/>
        <v>31.89930166</v>
      </c>
      <c r="R17" s="228">
        <v>3.06</v>
      </c>
      <c r="S17" s="229">
        <v>1.41</v>
      </c>
      <c r="T17" s="230">
        <v>81.0</v>
      </c>
      <c r="U17" s="224">
        <f t="shared" si="2"/>
        <v>237.5</v>
      </c>
      <c r="V17" s="232">
        <f t="shared" si="7"/>
        <v>0.8816456442</v>
      </c>
      <c r="W17" s="225">
        <f t="shared" si="8"/>
        <v>1.134242546</v>
      </c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</row>
    <row r="18" ht="37.5" customHeight="1">
      <c r="A18" s="15"/>
      <c r="B18" s="15"/>
      <c r="C18" s="207">
        <v>4.0</v>
      </c>
      <c r="D18" s="208" t="b">
        <v>1</v>
      </c>
      <c r="E18" s="208" t="b">
        <v>1</v>
      </c>
      <c r="F18" s="6"/>
      <c r="G18" s="231" t="s">
        <v>125</v>
      </c>
      <c r="H18" s="210">
        <v>1.97</v>
      </c>
      <c r="I18" s="211">
        <v>0.315</v>
      </c>
      <c r="J18" s="210">
        <v>0.167</v>
      </c>
      <c r="K18" s="210">
        <v>0.147</v>
      </c>
      <c r="L18" s="212">
        <f t="shared" si="1"/>
        <v>0.07875</v>
      </c>
      <c r="M18" s="213">
        <v>5.278</v>
      </c>
      <c r="N18" s="213">
        <v>6.939</v>
      </c>
      <c r="O18" s="6"/>
      <c r="P18" s="215">
        <f t="shared" si="6"/>
        <v>70.10231148</v>
      </c>
      <c r="Q18" s="215">
        <f t="shared" si="3"/>
        <v>53.32180429</v>
      </c>
      <c r="R18" s="228">
        <v>3.16</v>
      </c>
      <c r="S18" s="229">
        <v>1.56</v>
      </c>
      <c r="T18" s="230">
        <v>89.0</v>
      </c>
      <c r="U18" s="224">
        <f t="shared" si="2"/>
        <v>270.8333333</v>
      </c>
      <c r="V18" s="232">
        <f t="shared" si="7"/>
        <v>0.3732474422</v>
      </c>
      <c r="W18" s="225">
        <f t="shared" si="8"/>
        <v>2.679187817</v>
      </c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</row>
    <row r="19" ht="37.5" customHeight="1">
      <c r="A19" s="206" t="s">
        <v>126</v>
      </c>
      <c r="B19" s="206" t="s">
        <v>38</v>
      </c>
      <c r="C19" s="207">
        <v>32.0</v>
      </c>
      <c r="D19" s="208" t="b">
        <v>1</v>
      </c>
      <c r="E19" s="208" t="b">
        <v>0</v>
      </c>
      <c r="F19" s="6"/>
      <c r="G19" s="210" t="s">
        <v>124</v>
      </c>
      <c r="H19" s="210">
        <v>4930.404</v>
      </c>
      <c r="I19" s="211">
        <v>118.64</v>
      </c>
      <c r="J19" s="210">
        <v>59.92</v>
      </c>
      <c r="K19" s="210">
        <v>58.72</v>
      </c>
      <c r="L19" s="212">
        <f t="shared" si="1"/>
        <v>29.66</v>
      </c>
      <c r="M19" s="213" t="s">
        <v>37</v>
      </c>
      <c r="N19" s="213" t="s">
        <v>37</v>
      </c>
      <c r="O19" s="6"/>
      <c r="P19" s="215" t="s">
        <v>37</v>
      </c>
      <c r="Q19" s="215" t="s">
        <v>37</v>
      </c>
      <c r="R19" s="228">
        <v>2.86</v>
      </c>
      <c r="S19" s="229">
        <v>0.5</v>
      </c>
      <c r="T19" s="230">
        <v>29.0</v>
      </c>
      <c r="U19" s="224">
        <f t="shared" si="2"/>
        <v>20.83333333</v>
      </c>
      <c r="V19" s="226" t="s">
        <v>37</v>
      </c>
      <c r="W19" s="226" t="s">
        <v>37</v>
      </c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</row>
    <row r="20" ht="37.5" customHeight="1">
      <c r="A20" s="6"/>
      <c r="B20" s="6"/>
      <c r="C20" s="207">
        <v>16.0</v>
      </c>
      <c r="D20" s="208" t="b">
        <v>1</v>
      </c>
      <c r="E20" s="208" t="b">
        <v>0</v>
      </c>
      <c r="F20" s="6"/>
      <c r="G20" s="210" t="s">
        <v>124</v>
      </c>
      <c r="H20" s="210">
        <v>1257.242</v>
      </c>
      <c r="I20" s="211">
        <v>59.807</v>
      </c>
      <c r="J20" s="210">
        <v>30.447</v>
      </c>
      <c r="K20" s="210">
        <v>29.36</v>
      </c>
      <c r="L20" s="212">
        <f t="shared" si="1"/>
        <v>14.95175</v>
      </c>
      <c r="M20" s="213" t="s">
        <v>37</v>
      </c>
      <c r="N20" s="213" t="s">
        <v>37</v>
      </c>
      <c r="O20" s="6"/>
      <c r="P20" s="215" t="s">
        <v>37</v>
      </c>
      <c r="Q20" s="215" t="s">
        <v>37</v>
      </c>
      <c r="R20" s="228">
        <v>2.84</v>
      </c>
      <c r="S20" s="229">
        <v>0.48</v>
      </c>
      <c r="T20" s="230">
        <v>27.0</v>
      </c>
      <c r="U20" s="224">
        <f t="shared" si="2"/>
        <v>12.5</v>
      </c>
      <c r="V20" s="226" t="s">
        <v>37</v>
      </c>
      <c r="W20" s="226" t="s">
        <v>37</v>
      </c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</row>
    <row r="21" ht="37.5" customHeight="1">
      <c r="A21" s="6"/>
      <c r="B21" s="6"/>
      <c r="C21" s="207">
        <v>8.0</v>
      </c>
      <c r="D21" s="208" t="b">
        <v>1</v>
      </c>
      <c r="E21" s="208" t="b">
        <v>0</v>
      </c>
      <c r="F21" s="6"/>
      <c r="G21" s="210" t="s">
        <v>124</v>
      </c>
      <c r="H21" s="210">
        <v>326.631</v>
      </c>
      <c r="I21" s="211">
        <v>30.418</v>
      </c>
      <c r="J21" s="210">
        <v>15.738</v>
      </c>
      <c r="K21" s="210">
        <v>14.68</v>
      </c>
      <c r="L21" s="212">
        <f t="shared" si="1"/>
        <v>7.6045</v>
      </c>
      <c r="M21" s="213" t="s">
        <v>37</v>
      </c>
      <c r="N21" s="213">
        <v>751.134</v>
      </c>
      <c r="O21" s="6"/>
      <c r="P21" s="215" t="s">
        <v>37</v>
      </c>
      <c r="Q21" s="215">
        <f t="shared" ref="Q21:Q34" si="9">1/(N21/O$3)</f>
        <v>0.4925885395</v>
      </c>
      <c r="R21" s="228">
        <v>3.37</v>
      </c>
      <c r="S21" s="229">
        <v>0.94</v>
      </c>
      <c r="T21" s="230">
        <v>54.0</v>
      </c>
      <c r="U21" s="224">
        <f t="shared" si="2"/>
        <v>125</v>
      </c>
      <c r="V21" s="225">
        <f t="shared" ref="V21:V29" si="10">H21/N21</f>
        <v>0.434850506</v>
      </c>
      <c r="W21" s="225">
        <f t="shared" ref="W21:W29" si="11">N21/H21</f>
        <v>2.299640879</v>
      </c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</row>
    <row r="22" ht="37.5" customHeight="1">
      <c r="A22" s="6"/>
      <c r="B22" s="15"/>
      <c r="C22" s="207">
        <v>4.0</v>
      </c>
      <c r="D22" s="208" t="b">
        <v>1</v>
      </c>
      <c r="E22" s="208" t="b">
        <v>0</v>
      </c>
      <c r="F22" s="6"/>
      <c r="G22" s="210" t="s">
        <v>124</v>
      </c>
      <c r="H22" s="210">
        <v>87.818</v>
      </c>
      <c r="I22" s="211">
        <v>15.731</v>
      </c>
      <c r="J22" s="210">
        <v>8.391</v>
      </c>
      <c r="K22" s="210">
        <v>7.34</v>
      </c>
      <c r="L22" s="212">
        <f t="shared" si="1"/>
        <v>3.93275</v>
      </c>
      <c r="M22" s="213" t="s">
        <v>37</v>
      </c>
      <c r="N22" s="213">
        <v>1313.685</v>
      </c>
      <c r="O22" s="6"/>
      <c r="P22" s="215" t="s">
        <v>37</v>
      </c>
      <c r="Q22" s="215">
        <f t="shared" si="9"/>
        <v>0.2816504718</v>
      </c>
      <c r="R22" s="228">
        <v>3.72</v>
      </c>
      <c r="S22" s="229">
        <v>1.32</v>
      </c>
      <c r="T22" s="230">
        <v>76.0</v>
      </c>
      <c r="U22" s="224">
        <f t="shared" si="2"/>
        <v>216.6666667</v>
      </c>
      <c r="V22" s="225">
        <f t="shared" si="10"/>
        <v>0.06684859765</v>
      </c>
      <c r="W22" s="225">
        <f t="shared" si="11"/>
        <v>14.95917693</v>
      </c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</row>
    <row r="23" ht="37.5" customHeight="1">
      <c r="A23" s="6"/>
      <c r="B23" s="206" t="s">
        <v>36</v>
      </c>
      <c r="C23" s="207">
        <v>32.0</v>
      </c>
      <c r="D23" s="208" t="b">
        <v>1</v>
      </c>
      <c r="E23" s="208" t="b">
        <v>0</v>
      </c>
      <c r="F23" s="6"/>
      <c r="G23" s="210" t="s">
        <v>124</v>
      </c>
      <c r="H23" s="210">
        <v>1232.601</v>
      </c>
      <c r="I23" s="211">
        <v>29.773</v>
      </c>
      <c r="J23" s="210">
        <v>15.093</v>
      </c>
      <c r="K23" s="210">
        <v>14.68</v>
      </c>
      <c r="L23" s="212">
        <f t="shared" si="1"/>
        <v>7.44325</v>
      </c>
      <c r="M23" s="213" t="s">
        <v>37</v>
      </c>
      <c r="N23" s="213">
        <v>2293.308</v>
      </c>
      <c r="O23" s="6"/>
      <c r="P23" s="215" t="s">
        <v>37</v>
      </c>
      <c r="Q23" s="215">
        <f t="shared" si="9"/>
        <v>0.1613389915</v>
      </c>
      <c r="R23" s="228">
        <v>2.8</v>
      </c>
      <c r="S23" s="229">
        <v>0.72</v>
      </c>
      <c r="T23" s="230">
        <v>41.0</v>
      </c>
      <c r="U23" s="224">
        <f t="shared" si="2"/>
        <v>70.83333333</v>
      </c>
      <c r="V23" s="225">
        <f t="shared" si="10"/>
        <v>0.5374773035</v>
      </c>
      <c r="W23" s="225">
        <f t="shared" si="11"/>
        <v>1.86054368</v>
      </c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</row>
    <row r="24" ht="37.5" customHeight="1">
      <c r="A24" s="6"/>
      <c r="B24" s="6"/>
      <c r="C24" s="207">
        <v>16.0</v>
      </c>
      <c r="D24" s="208" t="b">
        <v>1</v>
      </c>
      <c r="E24" s="208" t="b">
        <v>0</v>
      </c>
      <c r="F24" s="6"/>
      <c r="G24" s="210" t="s">
        <v>124</v>
      </c>
      <c r="H24" s="210">
        <v>314.31</v>
      </c>
      <c r="I24" s="211">
        <v>14.98</v>
      </c>
      <c r="J24" s="210">
        <v>7.64</v>
      </c>
      <c r="K24" s="210">
        <v>7.34</v>
      </c>
      <c r="L24" s="212">
        <f t="shared" si="1"/>
        <v>3.745</v>
      </c>
      <c r="M24" s="213" t="s">
        <v>37</v>
      </c>
      <c r="N24" s="213">
        <v>869.538</v>
      </c>
      <c r="O24" s="6"/>
      <c r="P24" s="215" t="s">
        <v>37</v>
      </c>
      <c r="Q24" s="215">
        <f t="shared" si="9"/>
        <v>0.4255133186</v>
      </c>
      <c r="R24" s="228">
        <v>2.59</v>
      </c>
      <c r="S24" s="229">
        <v>0.57</v>
      </c>
      <c r="T24" s="230">
        <v>33.0</v>
      </c>
      <c r="U24" s="224">
        <f t="shared" si="2"/>
        <v>37.5</v>
      </c>
      <c r="V24" s="225">
        <f t="shared" si="10"/>
        <v>0.3614678139</v>
      </c>
      <c r="W24" s="225">
        <f t="shared" si="11"/>
        <v>2.766498043</v>
      </c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</row>
    <row r="25" ht="37.5" customHeight="1">
      <c r="A25" s="6"/>
      <c r="B25" s="6"/>
      <c r="C25" s="207">
        <v>8.0</v>
      </c>
      <c r="D25" s="208" t="b">
        <v>1</v>
      </c>
      <c r="E25" s="208" t="b">
        <v>0</v>
      </c>
      <c r="F25" s="6"/>
      <c r="G25" s="210" t="s">
        <v>124</v>
      </c>
      <c r="H25" s="210">
        <v>81.657</v>
      </c>
      <c r="I25" s="211">
        <v>7.612</v>
      </c>
      <c r="J25" s="210">
        <v>3.942</v>
      </c>
      <c r="K25" s="210">
        <v>3.67</v>
      </c>
      <c r="L25" s="212">
        <f t="shared" si="1"/>
        <v>1.903</v>
      </c>
      <c r="M25" s="213" t="s">
        <v>37</v>
      </c>
      <c r="N25" s="213">
        <v>170.508</v>
      </c>
      <c r="O25" s="6"/>
      <c r="P25" s="215" t="s">
        <v>37</v>
      </c>
      <c r="Q25" s="215">
        <f t="shared" si="9"/>
        <v>2.169986159</v>
      </c>
      <c r="R25" s="228">
        <v>3.04</v>
      </c>
      <c r="S25" s="229">
        <v>1.08</v>
      </c>
      <c r="T25" s="230">
        <v>62.0</v>
      </c>
      <c r="U25" s="224">
        <f t="shared" si="2"/>
        <v>158.3333333</v>
      </c>
      <c r="V25" s="225">
        <f t="shared" si="10"/>
        <v>0.4789042156</v>
      </c>
      <c r="W25" s="225">
        <f t="shared" si="11"/>
        <v>2.088100224</v>
      </c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</row>
    <row r="26" ht="37.5" customHeight="1">
      <c r="A26" s="6"/>
      <c r="B26" s="15"/>
      <c r="C26" s="207">
        <v>4.0</v>
      </c>
      <c r="D26" s="208" t="b">
        <v>1</v>
      </c>
      <c r="E26" s="208" t="b">
        <v>0</v>
      </c>
      <c r="F26" s="6"/>
      <c r="G26" s="210" t="s">
        <v>124</v>
      </c>
      <c r="H26" s="210">
        <v>21.954</v>
      </c>
      <c r="I26" s="211">
        <v>3.934</v>
      </c>
      <c r="J26" s="210">
        <v>2.099</v>
      </c>
      <c r="K26" s="210">
        <v>1.835</v>
      </c>
      <c r="L26" s="212">
        <f t="shared" si="1"/>
        <v>0.9835</v>
      </c>
      <c r="M26" s="213" t="s">
        <v>37</v>
      </c>
      <c r="N26" s="213">
        <v>296.472</v>
      </c>
      <c r="O26" s="6"/>
      <c r="P26" s="215" t="s">
        <v>37</v>
      </c>
      <c r="Q26" s="215">
        <f t="shared" si="9"/>
        <v>1.24800993</v>
      </c>
      <c r="R26" s="228">
        <v>3.3</v>
      </c>
      <c r="S26" s="229">
        <v>1.35</v>
      </c>
      <c r="T26" s="230">
        <v>77.0</v>
      </c>
      <c r="U26" s="224">
        <f t="shared" si="2"/>
        <v>220.8333333</v>
      </c>
      <c r="V26" s="225">
        <f t="shared" si="10"/>
        <v>0.07405083785</v>
      </c>
      <c r="W26" s="225">
        <f t="shared" si="11"/>
        <v>13.50423613</v>
      </c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</row>
    <row r="27" ht="37.5" customHeight="1">
      <c r="A27" s="6"/>
      <c r="B27" s="206" t="s">
        <v>65</v>
      </c>
      <c r="C27" s="207">
        <v>32.0</v>
      </c>
      <c r="D27" s="208" t="b">
        <v>1</v>
      </c>
      <c r="E27" s="208" t="b">
        <v>0</v>
      </c>
      <c r="F27" s="6"/>
      <c r="G27" s="210" t="s">
        <v>124</v>
      </c>
      <c r="H27" s="210">
        <v>308.15</v>
      </c>
      <c r="I27" s="211">
        <v>7.556</v>
      </c>
      <c r="J27" s="210">
        <v>3.886</v>
      </c>
      <c r="K27" s="210">
        <v>3.67</v>
      </c>
      <c r="L27" s="212">
        <f t="shared" si="1"/>
        <v>1.889</v>
      </c>
      <c r="M27" s="213" t="s">
        <v>37</v>
      </c>
      <c r="N27" s="213">
        <v>490.85</v>
      </c>
      <c r="O27" s="6"/>
      <c r="P27" s="215" t="s">
        <v>37</v>
      </c>
      <c r="Q27" s="215">
        <f t="shared" si="9"/>
        <v>0.7537944382</v>
      </c>
      <c r="R27" s="228">
        <v>3.12</v>
      </c>
      <c r="S27" s="229">
        <v>1.1</v>
      </c>
      <c r="T27" s="230">
        <v>63.0</v>
      </c>
      <c r="U27" s="224">
        <f t="shared" si="2"/>
        <v>162.5</v>
      </c>
      <c r="V27" s="225">
        <f t="shared" si="10"/>
        <v>0.6277885301</v>
      </c>
      <c r="W27" s="225">
        <f t="shared" si="11"/>
        <v>1.592893072</v>
      </c>
      <c r="AA27" s="204"/>
      <c r="AB27" s="204"/>
      <c r="AC27" s="204"/>
      <c r="AD27" s="204"/>
      <c r="AE27" s="204"/>
      <c r="AF27" s="204"/>
      <c r="AG27" s="204"/>
      <c r="AH27" s="204"/>
      <c r="AI27" s="204"/>
    </row>
    <row r="28" ht="37.5" customHeight="1">
      <c r="A28" s="6"/>
      <c r="B28" s="6"/>
      <c r="C28" s="207">
        <v>16.0</v>
      </c>
      <c r="D28" s="208" t="b">
        <v>1</v>
      </c>
      <c r="E28" s="208" t="b">
        <v>0</v>
      </c>
      <c r="F28" s="6"/>
      <c r="G28" s="210" t="s">
        <v>124</v>
      </c>
      <c r="H28" s="210">
        <v>78.577</v>
      </c>
      <c r="I28" s="211">
        <v>3.774</v>
      </c>
      <c r="J28" s="210">
        <v>1.939</v>
      </c>
      <c r="K28" s="210">
        <v>1.835</v>
      </c>
      <c r="L28" s="212">
        <f t="shared" si="1"/>
        <v>0.9435</v>
      </c>
      <c r="M28" s="213" t="s">
        <v>37</v>
      </c>
      <c r="N28" s="213">
        <v>159.396</v>
      </c>
      <c r="O28" s="6"/>
      <c r="P28" s="215" t="s">
        <v>37</v>
      </c>
      <c r="Q28" s="215">
        <f t="shared" si="9"/>
        <v>2.321262767</v>
      </c>
      <c r="R28" s="228">
        <v>2.85</v>
      </c>
      <c r="S28" s="229">
        <v>0.89</v>
      </c>
      <c r="T28" s="230">
        <v>51.0</v>
      </c>
      <c r="U28" s="224">
        <f t="shared" si="2"/>
        <v>112.5</v>
      </c>
      <c r="V28" s="225">
        <f t="shared" si="10"/>
        <v>0.4929672012</v>
      </c>
      <c r="W28" s="225">
        <f t="shared" si="11"/>
        <v>2.028532522</v>
      </c>
      <c r="AA28" s="204"/>
      <c r="AB28" s="204"/>
      <c r="AC28" s="204"/>
      <c r="AD28" s="204"/>
      <c r="AE28" s="204"/>
      <c r="AF28" s="204"/>
      <c r="AG28" s="204"/>
      <c r="AH28" s="204"/>
      <c r="AI28" s="204"/>
    </row>
    <row r="29" ht="37.5" customHeight="1">
      <c r="A29" s="6"/>
      <c r="B29" s="6"/>
      <c r="C29" s="207">
        <v>8.0</v>
      </c>
      <c r="D29" s="208" t="b">
        <v>1</v>
      </c>
      <c r="E29" s="208" t="b">
        <v>0</v>
      </c>
      <c r="F29" s="6"/>
      <c r="G29" s="210" t="s">
        <v>124</v>
      </c>
      <c r="H29" s="210">
        <v>20.414</v>
      </c>
      <c r="I29" s="211">
        <v>1.91</v>
      </c>
      <c r="J29" s="210">
        <v>0.993</v>
      </c>
      <c r="K29" s="210">
        <v>0.917</v>
      </c>
      <c r="L29" s="212">
        <f t="shared" si="1"/>
        <v>0.4775</v>
      </c>
      <c r="M29" s="213" t="s">
        <v>37</v>
      </c>
      <c r="N29" s="213">
        <v>36.59</v>
      </c>
      <c r="O29" s="6"/>
      <c r="P29" s="215" t="s">
        <v>37</v>
      </c>
      <c r="Q29" s="215">
        <f t="shared" si="9"/>
        <v>10.11205247</v>
      </c>
      <c r="R29" s="228">
        <v>3.07</v>
      </c>
      <c r="S29" s="229">
        <v>1.33</v>
      </c>
      <c r="T29" s="230">
        <v>76.0</v>
      </c>
      <c r="U29" s="224">
        <f t="shared" si="2"/>
        <v>216.6666667</v>
      </c>
      <c r="V29" s="225">
        <f t="shared" si="10"/>
        <v>0.5579119978</v>
      </c>
      <c r="W29" s="225">
        <f t="shared" si="11"/>
        <v>1.792397374</v>
      </c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</row>
    <row r="30" ht="37.5" customHeight="1">
      <c r="A30" s="6"/>
      <c r="B30" s="15"/>
      <c r="C30" s="207">
        <v>4.0</v>
      </c>
      <c r="D30" s="208" t="b">
        <v>1</v>
      </c>
      <c r="E30" s="208" t="b">
        <v>1</v>
      </c>
      <c r="F30" s="6"/>
      <c r="G30" s="231" t="s">
        <v>125</v>
      </c>
      <c r="H30" s="210">
        <v>5.488</v>
      </c>
      <c r="I30" s="211">
        <v>0.985</v>
      </c>
      <c r="J30" s="210">
        <v>0.527</v>
      </c>
      <c r="K30" s="210">
        <v>0.458</v>
      </c>
      <c r="L30" s="212">
        <f t="shared" si="1"/>
        <v>0.24625</v>
      </c>
      <c r="M30" s="213">
        <v>26.588</v>
      </c>
      <c r="N30" s="213">
        <v>32.9</v>
      </c>
      <c r="O30" s="6"/>
      <c r="P30" s="215">
        <f>1/(M30/O$3)</f>
        <v>13.91605235</v>
      </c>
      <c r="Q30" s="215">
        <f t="shared" si="9"/>
        <v>11.24620061</v>
      </c>
      <c r="R30" s="228">
        <v>3.23</v>
      </c>
      <c r="S30" s="229">
        <v>1.46</v>
      </c>
      <c r="T30" s="230">
        <v>84.0</v>
      </c>
      <c r="U30" s="224">
        <f t="shared" si="2"/>
        <v>250</v>
      </c>
      <c r="V30" s="232">
        <f>H30/M30</f>
        <v>0.2064089063</v>
      </c>
      <c r="W30" s="225">
        <f>M30/H30</f>
        <v>4.844752187</v>
      </c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</row>
    <row r="31" ht="37.5" customHeight="1">
      <c r="A31" s="6"/>
      <c r="B31" s="206" t="s">
        <v>64</v>
      </c>
      <c r="C31" s="207">
        <v>32.0</v>
      </c>
      <c r="D31" s="208" t="b">
        <v>1</v>
      </c>
      <c r="E31" s="208" t="b">
        <v>0</v>
      </c>
      <c r="F31" s="6"/>
      <c r="G31" s="210" t="s">
        <v>124</v>
      </c>
      <c r="H31" s="210">
        <v>77.037</v>
      </c>
      <c r="I31" s="211">
        <v>2.002</v>
      </c>
      <c r="J31" s="210">
        <v>1.085</v>
      </c>
      <c r="K31" s="210">
        <v>0.917</v>
      </c>
      <c r="L31" s="212">
        <f t="shared" si="1"/>
        <v>0.5005</v>
      </c>
      <c r="M31" s="213" t="s">
        <v>37</v>
      </c>
      <c r="N31" s="213">
        <v>107.689</v>
      </c>
      <c r="O31" s="6"/>
      <c r="P31" s="215" t="s">
        <v>37</v>
      </c>
      <c r="Q31" s="215">
        <f t="shared" si="9"/>
        <v>3.435819814</v>
      </c>
      <c r="R31" s="228">
        <v>3.25</v>
      </c>
      <c r="S31" s="229">
        <v>1.38</v>
      </c>
      <c r="T31" s="230">
        <v>79.0</v>
      </c>
      <c r="U31" s="224">
        <f t="shared" si="2"/>
        <v>229.1666667</v>
      </c>
      <c r="V31" s="225">
        <f>H31/N31</f>
        <v>0.7153655434</v>
      </c>
      <c r="W31" s="225">
        <f>N31/H31</f>
        <v>1.39788673</v>
      </c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</row>
    <row r="32" ht="37.5" customHeight="1">
      <c r="A32" s="6"/>
      <c r="B32" s="6"/>
      <c r="C32" s="207">
        <v>16.0</v>
      </c>
      <c r="D32" s="208" t="b">
        <v>1</v>
      </c>
      <c r="E32" s="208" t="b">
        <v>1</v>
      </c>
      <c r="F32" s="6"/>
      <c r="G32" s="231" t="s">
        <v>125</v>
      </c>
      <c r="H32" s="210">
        <v>19.644</v>
      </c>
      <c r="I32" s="211">
        <v>0.972</v>
      </c>
      <c r="J32" s="210">
        <v>0.513</v>
      </c>
      <c r="K32" s="210">
        <v>0.458</v>
      </c>
      <c r="L32" s="212">
        <f t="shared" si="1"/>
        <v>0.243</v>
      </c>
      <c r="M32" s="213">
        <v>19.417</v>
      </c>
      <c r="N32" s="213">
        <v>33.501</v>
      </c>
      <c r="O32" s="6"/>
      <c r="P32" s="215">
        <f t="shared" ref="P32:P34" si="12">1/(M32/O$3)</f>
        <v>19.05546686</v>
      </c>
      <c r="Q32" s="215">
        <f t="shared" si="9"/>
        <v>11.04444643</v>
      </c>
      <c r="R32" s="228">
        <v>3.01</v>
      </c>
      <c r="S32" s="229">
        <v>1.2</v>
      </c>
      <c r="T32" s="230">
        <v>69.0</v>
      </c>
      <c r="U32" s="224">
        <f t="shared" si="2"/>
        <v>187.5</v>
      </c>
      <c r="V32" s="232">
        <f t="shared" ref="V32:V34" si="13">H32/M32</f>
        <v>1.011690786</v>
      </c>
      <c r="W32" s="225">
        <f t="shared" ref="W32:W34" si="14">M32/H32</f>
        <v>0.9884443087</v>
      </c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</row>
    <row r="33" ht="37.5" customHeight="1">
      <c r="A33" s="6"/>
      <c r="B33" s="6"/>
      <c r="C33" s="207">
        <v>8.0</v>
      </c>
      <c r="D33" s="208" t="b">
        <v>1</v>
      </c>
      <c r="E33" s="208" t="b">
        <v>1</v>
      </c>
      <c r="F33" s="6"/>
      <c r="G33" s="231" t="s">
        <v>125</v>
      </c>
      <c r="H33" s="210">
        <v>5.103</v>
      </c>
      <c r="I33" s="211">
        <v>0.485</v>
      </c>
      <c r="J33" s="210">
        <v>0.255</v>
      </c>
      <c r="K33" s="210">
        <v>0.229</v>
      </c>
      <c r="L33" s="212">
        <f t="shared" si="1"/>
        <v>0.12125</v>
      </c>
      <c r="M33" s="213">
        <v>5.964</v>
      </c>
      <c r="N33" s="213">
        <v>8.411</v>
      </c>
      <c r="O33" s="6"/>
      <c r="P33" s="215">
        <f t="shared" si="12"/>
        <v>62.03890007</v>
      </c>
      <c r="Q33" s="215">
        <f t="shared" si="9"/>
        <v>43.99001308</v>
      </c>
      <c r="R33" s="228">
        <v>3.05</v>
      </c>
      <c r="S33" s="229">
        <v>1.45</v>
      </c>
      <c r="T33" s="230">
        <v>83.0</v>
      </c>
      <c r="U33" s="224">
        <f t="shared" si="2"/>
        <v>245.8333333</v>
      </c>
      <c r="V33" s="232">
        <f t="shared" si="13"/>
        <v>0.8556338028</v>
      </c>
      <c r="W33" s="225">
        <f t="shared" si="14"/>
        <v>1.16872428</v>
      </c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</row>
    <row r="34" ht="37.5" customHeight="1">
      <c r="A34" s="15"/>
      <c r="B34" s="15"/>
      <c r="C34" s="207">
        <v>4.0</v>
      </c>
      <c r="D34" s="208" t="b">
        <v>1</v>
      </c>
      <c r="E34" s="208" t="b">
        <v>1</v>
      </c>
      <c r="F34" s="15"/>
      <c r="G34" s="231" t="s">
        <v>125</v>
      </c>
      <c r="H34" s="210">
        <v>1.372</v>
      </c>
      <c r="I34" s="211">
        <v>0.248</v>
      </c>
      <c r="J34" s="210">
        <v>0.133</v>
      </c>
      <c r="K34" s="210">
        <v>0.114</v>
      </c>
      <c r="L34" s="212">
        <f t="shared" si="1"/>
        <v>0.062</v>
      </c>
      <c r="M34" s="213">
        <v>3.787</v>
      </c>
      <c r="N34" s="213">
        <v>5.111</v>
      </c>
      <c r="O34" s="6"/>
      <c r="P34" s="215">
        <f t="shared" si="12"/>
        <v>97.70266702</v>
      </c>
      <c r="Q34" s="215">
        <f t="shared" si="9"/>
        <v>72.39287811</v>
      </c>
      <c r="R34" s="228">
        <v>3.22</v>
      </c>
      <c r="S34" s="229">
        <v>1.55</v>
      </c>
      <c r="T34" s="230">
        <v>89.0</v>
      </c>
      <c r="U34" s="224">
        <f t="shared" si="2"/>
        <v>270.8333333</v>
      </c>
      <c r="V34" s="232">
        <f t="shared" si="13"/>
        <v>0.3622920518</v>
      </c>
      <c r="W34" s="225">
        <f t="shared" si="14"/>
        <v>2.760204082</v>
      </c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</row>
    <row r="35">
      <c r="A35" s="233" t="s">
        <v>127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24"/>
      <c r="V35" s="234"/>
      <c r="W35" s="235"/>
      <c r="X35" s="199" t="s">
        <v>128</v>
      </c>
      <c r="Y35" s="199" t="s">
        <v>129</v>
      </c>
      <c r="Z35" s="199" t="s">
        <v>130</v>
      </c>
      <c r="AA35" s="236"/>
      <c r="AB35" s="236"/>
      <c r="AC35" s="236"/>
      <c r="AD35" s="236"/>
      <c r="AE35" s="236"/>
      <c r="AF35" s="236"/>
      <c r="AG35" s="236"/>
      <c r="AH35" s="236"/>
      <c r="AI35" s="236"/>
    </row>
    <row r="36" ht="34.5" customHeight="1">
      <c r="A36" s="199" t="s">
        <v>0</v>
      </c>
      <c r="B36" s="199" t="s">
        <v>96</v>
      </c>
      <c r="C36" s="199" t="s">
        <v>97</v>
      </c>
      <c r="D36" s="199" t="s">
        <v>98</v>
      </c>
      <c r="E36" s="199" t="s">
        <v>99</v>
      </c>
      <c r="F36" s="199" t="s">
        <v>100</v>
      </c>
      <c r="G36" s="199" t="s">
        <v>101</v>
      </c>
      <c r="H36" s="199" t="s">
        <v>102</v>
      </c>
      <c r="I36" s="200" t="s">
        <v>103</v>
      </c>
      <c r="J36" s="3"/>
      <c r="K36" s="4"/>
      <c r="L36" s="199" t="s">
        <v>104</v>
      </c>
      <c r="M36" s="199" t="s">
        <v>105</v>
      </c>
      <c r="N36" s="199" t="s">
        <v>106</v>
      </c>
      <c r="O36" s="199" t="s">
        <v>107</v>
      </c>
      <c r="P36" s="199" t="s">
        <v>108</v>
      </c>
      <c r="Q36" s="199" t="s">
        <v>109</v>
      </c>
      <c r="R36" s="201" t="s">
        <v>110</v>
      </c>
      <c r="S36" s="202" t="s">
        <v>111</v>
      </c>
      <c r="T36" s="202" t="s">
        <v>112</v>
      </c>
      <c r="U36" s="224"/>
      <c r="V36" s="199" t="s">
        <v>114</v>
      </c>
      <c r="W36" s="199" t="s">
        <v>115</v>
      </c>
      <c r="X36" s="6"/>
      <c r="Y36" s="6"/>
      <c r="Z36" s="6"/>
      <c r="AA36" s="236"/>
      <c r="AB36" s="236"/>
      <c r="AC36" s="236"/>
      <c r="AD36" s="236"/>
      <c r="AE36" s="236"/>
      <c r="AF36" s="236"/>
      <c r="AG36" s="236"/>
      <c r="AH36" s="236"/>
      <c r="AI36" s="236"/>
    </row>
    <row r="37" ht="48.75" customHeight="1">
      <c r="A37" s="15"/>
      <c r="B37" s="15"/>
      <c r="C37" s="15"/>
      <c r="D37" s="15"/>
      <c r="E37" s="15"/>
      <c r="F37" s="15"/>
      <c r="G37" s="15"/>
      <c r="H37" s="15"/>
      <c r="I37" s="205" t="s">
        <v>119</v>
      </c>
      <c r="J37" s="205" t="s">
        <v>120</v>
      </c>
      <c r="K37" s="205" t="s">
        <v>121</v>
      </c>
      <c r="L37" s="15"/>
      <c r="M37" s="15"/>
      <c r="N37" s="15"/>
      <c r="O37" s="15"/>
      <c r="P37" s="15"/>
      <c r="Q37" s="15"/>
      <c r="R37" s="15"/>
      <c r="S37" s="15"/>
      <c r="T37" s="15"/>
      <c r="U37" s="224"/>
      <c r="V37" s="15"/>
      <c r="W37" s="15"/>
      <c r="X37" s="15"/>
      <c r="Y37" s="15"/>
      <c r="Z37" s="15"/>
      <c r="AA37" s="236"/>
      <c r="AB37" s="236"/>
      <c r="AC37" s="236"/>
      <c r="AD37" s="236"/>
      <c r="AE37" s="236"/>
      <c r="AF37" s="236"/>
      <c r="AG37" s="236"/>
      <c r="AH37" s="236"/>
      <c r="AI37" s="236"/>
    </row>
    <row r="38" ht="37.5" customHeight="1">
      <c r="A38" s="206" t="s">
        <v>131</v>
      </c>
      <c r="B38" s="206" t="s">
        <v>38</v>
      </c>
      <c r="C38" s="207">
        <v>32.0</v>
      </c>
      <c r="D38" s="208" t="b">
        <v>1</v>
      </c>
      <c r="E38" s="208" t="b">
        <v>0</v>
      </c>
      <c r="F38" s="209" t="s">
        <v>123</v>
      </c>
      <c r="G38" s="210" t="s">
        <v>124</v>
      </c>
      <c r="H38" s="210">
        <v>7388.79</v>
      </c>
      <c r="I38" s="211">
        <v>38.857</v>
      </c>
      <c r="J38" s="210">
        <v>19.982</v>
      </c>
      <c r="K38" s="210">
        <v>18.874</v>
      </c>
      <c r="L38" s="237" t="s">
        <v>37</v>
      </c>
      <c r="M38" s="213" t="s">
        <v>37</v>
      </c>
      <c r="N38" s="238" t="s">
        <v>37</v>
      </c>
      <c r="O38" s="214">
        <v>370.0</v>
      </c>
      <c r="P38" s="215" t="s">
        <v>37</v>
      </c>
      <c r="Q38" s="239" t="str">
        <f t="shared" ref="Q38:Q69" si="15">1/(N38/O$38)</f>
        <v>#VALUE!</v>
      </c>
      <c r="R38" s="216">
        <v>2.75</v>
      </c>
      <c r="S38" s="217">
        <v>0.41</v>
      </c>
      <c r="T38" s="218">
        <v>23.0</v>
      </c>
      <c r="U38" s="224">
        <f t="shared" ref="U38:U69" si="16">(T38-$T$3)/$T$3*100</f>
        <v>-4.166666667</v>
      </c>
      <c r="V38" s="225" t="s">
        <v>37</v>
      </c>
      <c r="W38" s="225" t="s">
        <v>37</v>
      </c>
      <c r="X38" s="232">
        <f t="shared" ref="X38:X69" si="17">(H38/H3 - 1) *100</f>
        <v>0.5206844634</v>
      </c>
      <c r="Y38" s="220" t="s">
        <v>37</v>
      </c>
      <c r="Z38" s="220" t="s">
        <v>37</v>
      </c>
      <c r="AA38" s="204"/>
      <c r="AB38" s="204"/>
      <c r="AC38" s="204"/>
      <c r="AD38" s="204"/>
      <c r="AE38" s="204"/>
      <c r="AF38" s="204"/>
      <c r="AG38" s="204"/>
      <c r="AH38" s="204"/>
      <c r="AI38" s="204"/>
    </row>
    <row r="39" ht="37.5" customHeight="1">
      <c r="A39" s="6"/>
      <c r="B39" s="6"/>
      <c r="C39" s="207">
        <v>16.0</v>
      </c>
      <c r="D39" s="208" t="b">
        <v>1</v>
      </c>
      <c r="E39" s="208" t="b">
        <v>0</v>
      </c>
      <c r="F39" s="6"/>
      <c r="G39" s="210" t="s">
        <v>124</v>
      </c>
      <c r="H39" s="210">
        <v>1882.718</v>
      </c>
      <c r="I39" s="211">
        <v>19.939</v>
      </c>
      <c r="J39" s="210">
        <v>10.501</v>
      </c>
      <c r="K39" s="210">
        <v>9.437</v>
      </c>
      <c r="L39" s="237" t="s">
        <v>37</v>
      </c>
      <c r="M39" s="213" t="s">
        <v>37</v>
      </c>
      <c r="N39" s="213">
        <v>1736.72</v>
      </c>
      <c r="O39" s="6"/>
      <c r="P39" s="215" t="s">
        <v>37</v>
      </c>
      <c r="Q39" s="215">
        <f t="shared" si="15"/>
        <v>0.2130452808</v>
      </c>
      <c r="R39" s="216">
        <v>2.91</v>
      </c>
      <c r="S39" s="217">
        <v>0.48</v>
      </c>
      <c r="T39" s="218">
        <v>28.0</v>
      </c>
      <c r="U39" s="224">
        <f t="shared" si="16"/>
        <v>16.66666667</v>
      </c>
      <c r="V39" s="225">
        <f t="shared" ref="V39:V44" si="18">H39/N39</f>
        <v>1.084065365</v>
      </c>
      <c r="W39" s="225">
        <f t="shared" ref="W39:W44" si="19">N39/H39</f>
        <v>0.9224536017</v>
      </c>
      <c r="X39" s="232">
        <f t="shared" si="17"/>
        <v>1.041099243</v>
      </c>
      <c r="Y39" s="220" t="s">
        <v>37</v>
      </c>
      <c r="Z39" s="220" t="s">
        <v>37</v>
      </c>
      <c r="AA39" s="204"/>
      <c r="AB39" s="204"/>
      <c r="AC39" s="204"/>
      <c r="AD39" s="204"/>
      <c r="AE39" s="204"/>
      <c r="AF39" s="204"/>
      <c r="AG39" s="204"/>
      <c r="AH39" s="204"/>
      <c r="AI39" s="204"/>
    </row>
    <row r="40" ht="37.5" customHeight="1">
      <c r="A40" s="6"/>
      <c r="B40" s="6"/>
      <c r="C40" s="207">
        <v>8.0</v>
      </c>
      <c r="D40" s="208" t="b">
        <v>1</v>
      </c>
      <c r="E40" s="208" t="b">
        <v>0</v>
      </c>
      <c r="F40" s="6"/>
      <c r="G40" s="210" t="s">
        <v>124</v>
      </c>
      <c r="H40" s="210">
        <v>488.636</v>
      </c>
      <c r="I40" s="211">
        <v>10.49</v>
      </c>
      <c r="J40" s="210">
        <v>5.771</v>
      </c>
      <c r="K40" s="210">
        <v>4.718</v>
      </c>
      <c r="L40" s="237" t="s">
        <v>37</v>
      </c>
      <c r="M40" s="213" t="s">
        <v>37</v>
      </c>
      <c r="N40" s="213">
        <v>338.611</v>
      </c>
      <c r="O40" s="6"/>
      <c r="P40" s="215" t="s">
        <v>37</v>
      </c>
      <c r="Q40" s="215">
        <f t="shared" si="15"/>
        <v>1.092699292</v>
      </c>
      <c r="R40" s="216">
        <v>3.26</v>
      </c>
      <c r="S40" s="217">
        <v>0.78</v>
      </c>
      <c r="T40" s="218">
        <v>45.0</v>
      </c>
      <c r="U40" s="224">
        <f t="shared" si="16"/>
        <v>87.5</v>
      </c>
      <c r="V40" s="225">
        <f t="shared" si="18"/>
        <v>1.443060031</v>
      </c>
      <c r="W40" s="225">
        <f t="shared" si="19"/>
        <v>0.6929718645</v>
      </c>
      <c r="X40" s="232">
        <f t="shared" si="17"/>
        <v>2.081165887</v>
      </c>
      <c r="Y40" s="240">
        <f t="shared" ref="Y40:Y44" si="20">(N5/N40 - 1) *100</f>
        <v>190.4710715</v>
      </c>
      <c r="Z40" s="240">
        <f t="shared" ref="Z40:Z44" si="21">(Q40/Q5 - 1) *100</f>
        <v>190.4710715</v>
      </c>
      <c r="AA40" s="204"/>
      <c r="AB40" s="204"/>
      <c r="AC40" s="204"/>
      <c r="AD40" s="204"/>
      <c r="AE40" s="204"/>
      <c r="AF40" s="204"/>
      <c r="AG40" s="204"/>
      <c r="AH40" s="204"/>
      <c r="AI40" s="204"/>
    </row>
    <row r="41" ht="37.5" customHeight="1">
      <c r="A41" s="6"/>
      <c r="B41" s="15"/>
      <c r="C41" s="207">
        <v>4.0</v>
      </c>
      <c r="D41" s="208" t="b">
        <v>1</v>
      </c>
      <c r="E41" s="208" t="b">
        <v>0</v>
      </c>
      <c r="F41" s="6"/>
      <c r="G41" s="210" t="s">
        <v>124</v>
      </c>
      <c r="H41" s="210">
        <v>131.334</v>
      </c>
      <c r="I41" s="211">
        <v>5.768</v>
      </c>
      <c r="J41" s="210">
        <v>3.409</v>
      </c>
      <c r="K41" s="210">
        <v>2.359</v>
      </c>
      <c r="L41" s="237" t="s">
        <v>37</v>
      </c>
      <c r="M41" s="213" t="s">
        <v>37</v>
      </c>
      <c r="N41" s="213">
        <v>412.641</v>
      </c>
      <c r="O41" s="6"/>
      <c r="P41" s="215" t="s">
        <v>37</v>
      </c>
      <c r="Q41" s="215">
        <f t="shared" si="15"/>
        <v>0.8966632012</v>
      </c>
      <c r="R41" s="216">
        <v>3.5</v>
      </c>
      <c r="S41" s="217">
        <v>1.1</v>
      </c>
      <c r="T41" s="218">
        <v>63.0</v>
      </c>
      <c r="U41" s="224">
        <f t="shared" si="16"/>
        <v>162.5</v>
      </c>
      <c r="V41" s="225">
        <f t="shared" si="18"/>
        <v>0.3182766618</v>
      </c>
      <c r="W41" s="225">
        <f t="shared" si="19"/>
        <v>3.141920599</v>
      </c>
      <c r="X41" s="232">
        <f t="shared" si="17"/>
        <v>4.158108033</v>
      </c>
      <c r="Y41" s="240">
        <f t="shared" si="20"/>
        <v>341.4420768</v>
      </c>
      <c r="Z41" s="240">
        <f t="shared" si="21"/>
        <v>341.4420768</v>
      </c>
      <c r="AA41" s="204"/>
      <c r="AB41" s="204"/>
      <c r="AC41" s="204"/>
      <c r="AD41" s="204"/>
      <c r="AE41" s="204"/>
      <c r="AF41" s="204"/>
      <c r="AG41" s="204"/>
      <c r="AH41" s="204"/>
      <c r="AI41" s="204"/>
    </row>
    <row r="42" ht="37.5" customHeight="1">
      <c r="A42" s="6"/>
      <c r="B42" s="206" t="s">
        <v>36</v>
      </c>
      <c r="C42" s="207">
        <v>32.0</v>
      </c>
      <c r="D42" s="208" t="b">
        <v>1</v>
      </c>
      <c r="E42" s="208" t="b">
        <v>0</v>
      </c>
      <c r="F42" s="6"/>
      <c r="G42" s="210" t="s">
        <v>124</v>
      </c>
      <c r="H42" s="210">
        <v>1847.197</v>
      </c>
      <c r="I42" s="211">
        <v>9.759</v>
      </c>
      <c r="J42" s="210">
        <v>5.04</v>
      </c>
      <c r="K42" s="210">
        <v>4.718</v>
      </c>
      <c r="L42" s="237" t="s">
        <v>37</v>
      </c>
      <c r="M42" s="213" t="s">
        <v>37</v>
      </c>
      <c r="N42" s="213">
        <v>627.957</v>
      </c>
      <c r="O42" s="6"/>
      <c r="P42" s="215" t="s">
        <v>37</v>
      </c>
      <c r="Q42" s="215">
        <f t="shared" si="15"/>
        <v>0.5892123187</v>
      </c>
      <c r="R42" s="228">
        <v>2.5</v>
      </c>
      <c r="S42" s="229">
        <v>0.53</v>
      </c>
      <c r="T42" s="230">
        <v>31.0</v>
      </c>
      <c r="U42" s="224">
        <f t="shared" si="16"/>
        <v>29.16666667</v>
      </c>
      <c r="V42" s="225">
        <f t="shared" si="18"/>
        <v>2.941597912</v>
      </c>
      <c r="W42" s="225">
        <f t="shared" si="19"/>
        <v>0.3399512884</v>
      </c>
      <c r="X42" s="232">
        <f t="shared" si="17"/>
        <v>0.5206709298</v>
      </c>
      <c r="Y42" s="240">
        <f t="shared" si="20"/>
        <v>415.9399449</v>
      </c>
      <c r="Z42" s="240">
        <f t="shared" si="21"/>
        <v>415.9399449</v>
      </c>
      <c r="AA42" s="204"/>
      <c r="AB42" s="204"/>
      <c r="AC42" s="204"/>
      <c r="AD42" s="204"/>
      <c r="AE42" s="204"/>
      <c r="AF42" s="204"/>
      <c r="AG42" s="204"/>
      <c r="AH42" s="204"/>
      <c r="AI42" s="204"/>
    </row>
    <row r="43" ht="37.5" customHeight="1">
      <c r="A43" s="6"/>
      <c r="B43" s="6"/>
      <c r="C43" s="207">
        <v>16.0</v>
      </c>
      <c r="D43" s="208" t="b">
        <v>1</v>
      </c>
      <c r="E43" s="208" t="b">
        <v>0</v>
      </c>
      <c r="F43" s="6"/>
      <c r="G43" s="210" t="s">
        <v>124</v>
      </c>
      <c r="H43" s="210">
        <v>470.679</v>
      </c>
      <c r="I43" s="211">
        <v>4.996</v>
      </c>
      <c r="J43" s="210">
        <v>2.637</v>
      </c>
      <c r="K43" s="210">
        <v>2.359</v>
      </c>
      <c r="L43" s="237" t="s">
        <v>37</v>
      </c>
      <c r="M43" s="213" t="s">
        <v>37</v>
      </c>
      <c r="N43" s="213">
        <v>289.993</v>
      </c>
      <c r="O43" s="6"/>
      <c r="P43" s="215" t="s">
        <v>37</v>
      </c>
      <c r="Q43" s="215">
        <f t="shared" si="15"/>
        <v>1.275892866</v>
      </c>
      <c r="R43" s="228">
        <v>2.73</v>
      </c>
      <c r="S43" s="229">
        <v>0.64</v>
      </c>
      <c r="T43" s="230">
        <v>36.0</v>
      </c>
      <c r="U43" s="224">
        <f t="shared" si="16"/>
        <v>50</v>
      </c>
      <c r="V43" s="225">
        <f t="shared" si="18"/>
        <v>1.623070212</v>
      </c>
      <c r="W43" s="225">
        <f t="shared" si="19"/>
        <v>0.6161162916</v>
      </c>
      <c r="X43" s="232">
        <f t="shared" si="17"/>
        <v>1.041154587</v>
      </c>
      <c r="Y43" s="240">
        <f t="shared" si="20"/>
        <v>316.3617742</v>
      </c>
      <c r="Z43" s="240">
        <f t="shared" si="21"/>
        <v>316.3617742</v>
      </c>
      <c r="AA43" s="204"/>
      <c r="AB43" s="204"/>
      <c r="AC43" s="204"/>
      <c r="AD43" s="204"/>
      <c r="AE43" s="204"/>
      <c r="AF43" s="204"/>
      <c r="AG43" s="204"/>
      <c r="AH43" s="204"/>
      <c r="AI43" s="204"/>
    </row>
    <row r="44" ht="37.5" customHeight="1">
      <c r="A44" s="6"/>
      <c r="B44" s="6"/>
      <c r="C44" s="207">
        <v>8.0</v>
      </c>
      <c r="D44" s="208" t="b">
        <v>1</v>
      </c>
      <c r="E44" s="208" t="b">
        <v>0</v>
      </c>
      <c r="F44" s="6"/>
      <c r="G44" s="210" t="s">
        <v>124</v>
      </c>
      <c r="H44" s="210">
        <v>122.159</v>
      </c>
      <c r="I44" s="211">
        <v>2.626</v>
      </c>
      <c r="J44" s="210">
        <v>1.446</v>
      </c>
      <c r="K44" s="210">
        <v>1.179</v>
      </c>
      <c r="L44" s="237" t="s">
        <v>37</v>
      </c>
      <c r="M44" s="213" t="s">
        <v>37</v>
      </c>
      <c r="N44" s="213">
        <v>73.163</v>
      </c>
      <c r="O44" s="6"/>
      <c r="P44" s="215" t="s">
        <v>37</v>
      </c>
      <c r="Q44" s="215">
        <f t="shared" si="15"/>
        <v>5.057201044</v>
      </c>
      <c r="R44" s="228">
        <v>3.01</v>
      </c>
      <c r="S44" s="229">
        <v>1.01</v>
      </c>
      <c r="T44" s="230">
        <v>58.0</v>
      </c>
      <c r="U44" s="224">
        <f t="shared" si="16"/>
        <v>141.6666667</v>
      </c>
      <c r="V44" s="225">
        <f t="shared" si="18"/>
        <v>1.669682763</v>
      </c>
      <c r="W44" s="225">
        <f t="shared" si="19"/>
        <v>0.5989161666</v>
      </c>
      <c r="X44" s="232">
        <f t="shared" si="17"/>
        <v>2.081592406</v>
      </c>
      <c r="Y44" s="240">
        <f t="shared" si="20"/>
        <v>205.3360305</v>
      </c>
      <c r="Z44" s="240">
        <f t="shared" si="21"/>
        <v>205.3360305</v>
      </c>
      <c r="AA44" s="204"/>
      <c r="AB44" s="204"/>
      <c r="AC44" s="204"/>
      <c r="AD44" s="204"/>
      <c r="AE44" s="204"/>
      <c r="AF44" s="204"/>
      <c r="AG44" s="204"/>
      <c r="AH44" s="204"/>
      <c r="AI44" s="204"/>
    </row>
    <row r="45" ht="37.5" customHeight="1">
      <c r="A45" s="6"/>
      <c r="B45" s="15"/>
      <c r="C45" s="207">
        <v>4.0</v>
      </c>
      <c r="D45" s="208" t="b">
        <v>1</v>
      </c>
      <c r="E45" s="208" t="b">
        <v>0</v>
      </c>
      <c r="F45" s="6"/>
      <c r="G45" s="231" t="s">
        <v>125</v>
      </c>
      <c r="H45" s="210">
        <v>32.833</v>
      </c>
      <c r="I45" s="211">
        <v>1.443</v>
      </c>
      <c r="J45" s="210">
        <v>0.853</v>
      </c>
      <c r="K45" s="210">
        <v>0.589</v>
      </c>
      <c r="L45" s="237" t="s">
        <v>37</v>
      </c>
      <c r="M45" s="213">
        <v>44.854</v>
      </c>
      <c r="N45" s="213">
        <v>60.246</v>
      </c>
      <c r="O45" s="6"/>
      <c r="P45" s="215">
        <f>1/(M45/O$38)</f>
        <v>8.248985598</v>
      </c>
      <c r="Q45" s="215">
        <f t="shared" si="15"/>
        <v>6.141486572</v>
      </c>
      <c r="R45" s="228">
        <v>3.16</v>
      </c>
      <c r="S45" s="229">
        <v>1.19</v>
      </c>
      <c r="T45" s="230">
        <v>68.0</v>
      </c>
      <c r="U45" s="224">
        <f t="shared" si="16"/>
        <v>183.3333333</v>
      </c>
      <c r="V45" s="232">
        <f>H45/M45</f>
        <v>0.7319971463</v>
      </c>
      <c r="W45" s="225">
        <f>M45/H45</f>
        <v>1.366125544</v>
      </c>
      <c r="X45" s="232">
        <f t="shared" si="17"/>
        <v>4.159000063</v>
      </c>
      <c r="Y45" s="241">
        <f>(N10/M45 - 1) *100</f>
        <v>814.6675882</v>
      </c>
      <c r="Z45" s="241">
        <f>(P45/Q10 - 1) *100</f>
        <v>814.6675882</v>
      </c>
      <c r="AA45" s="204"/>
      <c r="AB45" s="204"/>
      <c r="AC45" s="204"/>
      <c r="AD45" s="204"/>
      <c r="AE45" s="204"/>
      <c r="AF45" s="204"/>
      <c r="AG45" s="204"/>
      <c r="AH45" s="204"/>
      <c r="AI45" s="204"/>
    </row>
    <row r="46" ht="37.5" customHeight="1">
      <c r="A46" s="6"/>
      <c r="B46" s="206" t="s">
        <v>65</v>
      </c>
      <c r="C46" s="207">
        <v>32.0</v>
      </c>
      <c r="D46" s="208" t="b">
        <v>1</v>
      </c>
      <c r="E46" s="208" t="b">
        <v>0</v>
      </c>
      <c r="F46" s="6"/>
      <c r="G46" s="210" t="s">
        <v>124</v>
      </c>
      <c r="H46" s="210">
        <v>461.799</v>
      </c>
      <c r="I46" s="211">
        <v>2.484</v>
      </c>
      <c r="J46" s="210">
        <v>1.305</v>
      </c>
      <c r="K46" s="210">
        <v>1.179</v>
      </c>
      <c r="L46" s="237" t="s">
        <v>37</v>
      </c>
      <c r="M46" s="213" t="s">
        <v>37</v>
      </c>
      <c r="N46" s="213">
        <v>133.159</v>
      </c>
      <c r="O46" s="6"/>
      <c r="P46" s="215" t="s">
        <v>37</v>
      </c>
      <c r="Q46" s="215">
        <f t="shared" si="15"/>
        <v>2.778633063</v>
      </c>
      <c r="R46" s="228">
        <v>2.7</v>
      </c>
      <c r="S46" s="229">
        <v>0.85</v>
      </c>
      <c r="T46" s="230">
        <v>49.0</v>
      </c>
      <c r="U46" s="224">
        <f t="shared" si="16"/>
        <v>104.1666667</v>
      </c>
      <c r="V46" s="225">
        <f>H46/N46</f>
        <v>3.468026945</v>
      </c>
      <c r="W46" s="225">
        <f>N46/H46</f>
        <v>0.288348394</v>
      </c>
      <c r="X46" s="232">
        <f t="shared" si="17"/>
        <v>0.5206712131</v>
      </c>
      <c r="Y46" s="240">
        <f>(N11/N46 - 1) *100</f>
        <v>430.923933</v>
      </c>
      <c r="Z46" s="240">
        <f>(Q46/Q11 - 1) *100</f>
        <v>430.923933</v>
      </c>
      <c r="AA46" s="204"/>
      <c r="AB46" s="204"/>
      <c r="AC46" s="204"/>
      <c r="AD46" s="204"/>
      <c r="AE46" s="204"/>
      <c r="AF46" s="204"/>
      <c r="AG46" s="204"/>
      <c r="AH46" s="204"/>
      <c r="AI46" s="204"/>
    </row>
    <row r="47" ht="37.5" customHeight="1">
      <c r="A47" s="6"/>
      <c r="B47" s="6"/>
      <c r="C47" s="207">
        <v>16.0</v>
      </c>
      <c r="D47" s="208" t="b">
        <v>1</v>
      </c>
      <c r="E47" s="208" t="b">
        <v>0</v>
      </c>
      <c r="F47" s="6"/>
      <c r="G47" s="231" t="s">
        <v>125</v>
      </c>
      <c r="H47" s="210">
        <v>117.669</v>
      </c>
      <c r="I47" s="211">
        <v>1.261</v>
      </c>
      <c r="J47" s="210">
        <v>0.671</v>
      </c>
      <c r="K47" s="210">
        <v>0.589</v>
      </c>
      <c r="L47" s="237" t="s">
        <v>37</v>
      </c>
      <c r="M47" s="213">
        <v>20.617</v>
      </c>
      <c r="N47" s="213">
        <v>57.199</v>
      </c>
      <c r="O47" s="6"/>
      <c r="P47" s="215">
        <f t="shared" ref="P47:P53" si="22">1/(M47/O$38)</f>
        <v>17.94635495</v>
      </c>
      <c r="Q47" s="215">
        <f t="shared" si="15"/>
        <v>6.468644557</v>
      </c>
      <c r="R47" s="228">
        <v>3.0</v>
      </c>
      <c r="S47" s="229">
        <v>0.98</v>
      </c>
      <c r="T47" s="230">
        <v>56.0</v>
      </c>
      <c r="U47" s="224">
        <f t="shared" si="16"/>
        <v>133.3333333</v>
      </c>
      <c r="V47" s="232">
        <f t="shared" ref="V47:V53" si="23">H47/M47</f>
        <v>5.707377407</v>
      </c>
      <c r="W47" s="225">
        <f t="shared" ref="W47:W53" si="24">M47/H47</f>
        <v>0.175211823</v>
      </c>
      <c r="X47" s="232">
        <f t="shared" si="17"/>
        <v>1.040727479</v>
      </c>
      <c r="Y47" s="241">
        <f t="shared" ref="Y47:Y48" si="25">(N12/M47 - 1) *100</f>
        <v>988.0244458</v>
      </c>
      <c r="Z47" s="241">
        <f t="shared" ref="Z47:Z48" si="26">(P47/Q12 - 1) *100</f>
        <v>988.0244458</v>
      </c>
      <c r="AA47" s="204"/>
      <c r="AB47" s="204"/>
      <c r="AC47" s="204"/>
      <c r="AD47" s="204"/>
      <c r="AE47" s="204"/>
      <c r="AF47" s="204"/>
      <c r="AG47" s="204"/>
      <c r="AH47" s="204"/>
      <c r="AI47" s="204"/>
    </row>
    <row r="48" ht="37.5" customHeight="1">
      <c r="A48" s="6"/>
      <c r="B48" s="6"/>
      <c r="C48" s="207">
        <v>8.0</v>
      </c>
      <c r="D48" s="208" t="b">
        <v>1</v>
      </c>
      <c r="E48" s="208" t="b">
        <v>0</v>
      </c>
      <c r="F48" s="6"/>
      <c r="G48" s="231" t="s">
        <v>125</v>
      </c>
      <c r="H48" s="210">
        <v>30.539</v>
      </c>
      <c r="I48" s="211">
        <v>0.66</v>
      </c>
      <c r="J48" s="210">
        <v>0.365</v>
      </c>
      <c r="K48" s="210">
        <v>0.294</v>
      </c>
      <c r="L48" s="237" t="s">
        <v>37</v>
      </c>
      <c r="M48" s="213">
        <v>12.047</v>
      </c>
      <c r="N48" s="213">
        <v>16.289</v>
      </c>
      <c r="O48" s="6"/>
      <c r="P48" s="215">
        <f t="shared" si="22"/>
        <v>30.71304059</v>
      </c>
      <c r="Q48" s="215">
        <f t="shared" si="15"/>
        <v>22.71471545</v>
      </c>
      <c r="R48" s="228">
        <v>3.01</v>
      </c>
      <c r="S48" s="229">
        <v>1.22</v>
      </c>
      <c r="T48" s="230">
        <v>70.0</v>
      </c>
      <c r="U48" s="224">
        <f t="shared" si="16"/>
        <v>191.6666667</v>
      </c>
      <c r="V48" s="232">
        <f t="shared" si="23"/>
        <v>2.534987964</v>
      </c>
      <c r="W48" s="225">
        <f t="shared" si="24"/>
        <v>0.3944791905</v>
      </c>
      <c r="X48" s="232">
        <f t="shared" si="17"/>
        <v>2.07908547</v>
      </c>
      <c r="Y48" s="241">
        <f t="shared" si="25"/>
        <v>310.6997593</v>
      </c>
      <c r="Z48" s="241">
        <f t="shared" si="26"/>
        <v>310.6997593</v>
      </c>
      <c r="AA48" s="204"/>
      <c r="AB48" s="204"/>
      <c r="AC48" s="204"/>
      <c r="AD48" s="204"/>
      <c r="AE48" s="204"/>
      <c r="AF48" s="204"/>
      <c r="AG48" s="204"/>
      <c r="AH48" s="204"/>
      <c r="AI48" s="204"/>
    </row>
    <row r="49" ht="37.5" customHeight="1">
      <c r="A49" s="6"/>
      <c r="B49" s="15"/>
      <c r="C49" s="207">
        <v>4.0</v>
      </c>
      <c r="D49" s="208" t="b">
        <v>1</v>
      </c>
      <c r="E49" s="208" t="b">
        <v>0</v>
      </c>
      <c r="F49" s="6"/>
      <c r="G49" s="231" t="s">
        <v>125</v>
      </c>
      <c r="H49" s="210">
        <v>8.208</v>
      </c>
      <c r="I49" s="211">
        <v>0.361</v>
      </c>
      <c r="J49" s="210">
        <v>0.214</v>
      </c>
      <c r="K49" s="210">
        <v>0.147</v>
      </c>
      <c r="L49" s="237" t="s">
        <v>37</v>
      </c>
      <c r="M49" s="213">
        <v>10.14</v>
      </c>
      <c r="N49" s="213">
        <v>12.342</v>
      </c>
      <c r="O49" s="6"/>
      <c r="P49" s="215">
        <f t="shared" si="22"/>
        <v>36.48915187</v>
      </c>
      <c r="Q49" s="215">
        <f t="shared" si="15"/>
        <v>29.97893372</v>
      </c>
      <c r="R49" s="228">
        <v>3.19</v>
      </c>
      <c r="S49" s="229">
        <v>1.42</v>
      </c>
      <c r="T49" s="230">
        <v>81.0</v>
      </c>
      <c r="U49" s="224">
        <f t="shared" si="16"/>
        <v>237.5</v>
      </c>
      <c r="V49" s="232">
        <f t="shared" si="23"/>
        <v>0.8094674556</v>
      </c>
      <c r="W49" s="225">
        <f t="shared" si="24"/>
        <v>1.235380117</v>
      </c>
      <c r="X49" s="232">
        <f t="shared" si="17"/>
        <v>4.162436548</v>
      </c>
      <c r="Y49" s="241">
        <f>(M14/M49 - 1) *100</f>
        <v>278.0177515</v>
      </c>
      <c r="Z49" s="241">
        <f>(P49/P14 - 1) *100</f>
        <v>278.0177515</v>
      </c>
      <c r="AA49" s="204"/>
      <c r="AB49" s="204"/>
      <c r="AC49" s="204"/>
      <c r="AD49" s="204"/>
      <c r="AE49" s="204"/>
      <c r="AF49" s="204"/>
      <c r="AG49" s="204"/>
      <c r="AH49" s="204"/>
      <c r="AI49" s="204"/>
    </row>
    <row r="50" ht="37.5" customHeight="1">
      <c r="A50" s="6"/>
      <c r="B50" s="206" t="s">
        <v>64</v>
      </c>
      <c r="C50" s="207">
        <v>32.0</v>
      </c>
      <c r="D50" s="208" t="b">
        <v>1</v>
      </c>
      <c r="E50" s="208" t="b">
        <v>0</v>
      </c>
      <c r="F50" s="6"/>
      <c r="G50" s="231" t="s">
        <v>125</v>
      </c>
      <c r="H50" s="210">
        <v>115.449</v>
      </c>
      <c r="I50" s="211">
        <v>0.666</v>
      </c>
      <c r="J50" s="210">
        <v>0.371</v>
      </c>
      <c r="K50" s="210">
        <v>0.294</v>
      </c>
      <c r="L50" s="237" t="s">
        <v>37</v>
      </c>
      <c r="M50" s="213">
        <v>9.059</v>
      </c>
      <c r="N50" s="213">
        <v>14.573</v>
      </c>
      <c r="O50" s="6"/>
      <c r="P50" s="215">
        <f t="shared" si="22"/>
        <v>40.84336019</v>
      </c>
      <c r="Q50" s="215">
        <f t="shared" si="15"/>
        <v>25.38941879</v>
      </c>
      <c r="R50" s="228">
        <v>2.78</v>
      </c>
      <c r="S50" s="229">
        <v>1.15</v>
      </c>
      <c r="T50" s="230">
        <v>66.0</v>
      </c>
      <c r="U50" s="224">
        <f t="shared" si="16"/>
        <v>175</v>
      </c>
      <c r="V50" s="232">
        <f t="shared" si="23"/>
        <v>12.74412187</v>
      </c>
      <c r="W50" s="225">
        <f t="shared" si="24"/>
        <v>0.07846754844</v>
      </c>
      <c r="X50" s="232">
        <f t="shared" si="17"/>
        <v>0.5206746132</v>
      </c>
      <c r="Y50" s="241">
        <f>(N15/M50 - 1) *100</f>
        <v>1618.953527</v>
      </c>
      <c r="Z50" s="241">
        <f>(P50/Q15 - 1) *100</f>
        <v>1618.953527</v>
      </c>
      <c r="AA50" s="204"/>
      <c r="AB50" s="204"/>
      <c r="AC50" s="204"/>
      <c r="AD50" s="204"/>
      <c r="AE50" s="204"/>
      <c r="AF50" s="204"/>
      <c r="AG50" s="204"/>
      <c r="AH50" s="204"/>
      <c r="AI50" s="204"/>
    </row>
    <row r="51" ht="37.5" customHeight="1">
      <c r="A51" s="6"/>
      <c r="B51" s="6"/>
      <c r="C51" s="207">
        <v>16.0</v>
      </c>
      <c r="D51" s="208" t="b">
        <v>1</v>
      </c>
      <c r="E51" s="208" t="b">
        <v>0</v>
      </c>
      <c r="F51" s="6"/>
      <c r="G51" s="231" t="s">
        <v>125</v>
      </c>
      <c r="H51" s="210">
        <v>29.417</v>
      </c>
      <c r="I51" s="211">
        <v>0.327</v>
      </c>
      <c r="J51" s="210">
        <v>0.18</v>
      </c>
      <c r="K51" s="210">
        <v>0.147</v>
      </c>
      <c r="L51" s="237" t="s">
        <v>37</v>
      </c>
      <c r="M51" s="213">
        <v>4.503</v>
      </c>
      <c r="N51" s="213">
        <v>6.588</v>
      </c>
      <c r="O51" s="6"/>
      <c r="P51" s="215">
        <f t="shared" si="22"/>
        <v>82.16744393</v>
      </c>
      <c r="Q51" s="215">
        <f t="shared" si="15"/>
        <v>56.1627201</v>
      </c>
      <c r="R51" s="228">
        <v>3.01</v>
      </c>
      <c r="S51" s="229">
        <v>1.18</v>
      </c>
      <c r="T51" s="230">
        <v>68.0</v>
      </c>
      <c r="U51" s="224">
        <f t="shared" si="16"/>
        <v>183.3333333</v>
      </c>
      <c r="V51" s="232">
        <f t="shared" si="23"/>
        <v>6.53275594</v>
      </c>
      <c r="W51" s="225">
        <f t="shared" si="24"/>
        <v>0.1530747527</v>
      </c>
      <c r="X51" s="232">
        <f t="shared" si="17"/>
        <v>1.040736415</v>
      </c>
      <c r="Y51" s="241">
        <f t="shared" ref="Y51:Y53" si="27">(M16/M51 - 1) *100</f>
        <v>532.7337331</v>
      </c>
      <c r="Z51" s="241">
        <f t="shared" ref="Z51:Z53" si="28">(P51/P16 - 1) *100</f>
        <v>532.7337331</v>
      </c>
      <c r="AA51" s="204"/>
      <c r="AB51" s="204"/>
      <c r="AC51" s="204"/>
      <c r="AD51" s="204"/>
      <c r="AE51" s="204"/>
      <c r="AF51" s="204"/>
      <c r="AG51" s="204"/>
      <c r="AH51" s="204"/>
      <c r="AI51" s="204"/>
    </row>
    <row r="52" ht="37.5" customHeight="1">
      <c r="A52" s="6"/>
      <c r="B52" s="6"/>
      <c r="C52" s="207">
        <v>8.0</v>
      </c>
      <c r="D52" s="208" t="b">
        <v>1</v>
      </c>
      <c r="E52" s="208" t="b">
        <v>0</v>
      </c>
      <c r="F52" s="6"/>
      <c r="G52" s="231" t="s">
        <v>125</v>
      </c>
      <c r="H52" s="210">
        <v>7.634</v>
      </c>
      <c r="I52" s="211">
        <v>0.168</v>
      </c>
      <c r="J52" s="210">
        <v>0.094</v>
      </c>
      <c r="K52" s="210">
        <v>0.073</v>
      </c>
      <c r="L52" s="237" t="s">
        <v>37</v>
      </c>
      <c r="M52" s="213">
        <v>3.086</v>
      </c>
      <c r="N52" s="213">
        <v>4.337</v>
      </c>
      <c r="O52" s="6"/>
      <c r="P52" s="215">
        <f t="shared" si="22"/>
        <v>119.8963059</v>
      </c>
      <c r="Q52" s="215">
        <f t="shared" si="15"/>
        <v>85.31242795</v>
      </c>
      <c r="R52" s="228">
        <v>3.0</v>
      </c>
      <c r="S52" s="229">
        <v>1.38</v>
      </c>
      <c r="T52" s="230">
        <v>79.0</v>
      </c>
      <c r="U52" s="224">
        <f t="shared" si="16"/>
        <v>229.1666667</v>
      </c>
      <c r="V52" s="232">
        <f t="shared" si="23"/>
        <v>2.47375243</v>
      </c>
      <c r="W52" s="225">
        <f t="shared" si="24"/>
        <v>0.4042441708</v>
      </c>
      <c r="X52" s="232">
        <f t="shared" si="17"/>
        <v>2.072469581</v>
      </c>
      <c r="Y52" s="241">
        <f t="shared" si="27"/>
        <v>174.8865846</v>
      </c>
      <c r="Z52" s="241">
        <f t="shared" si="28"/>
        <v>174.8865846</v>
      </c>
      <c r="AA52" s="204"/>
      <c r="AB52" s="204"/>
      <c r="AC52" s="204"/>
      <c r="AD52" s="204"/>
      <c r="AE52" s="204"/>
      <c r="AF52" s="204"/>
      <c r="AG52" s="204"/>
      <c r="AH52" s="204"/>
      <c r="AI52" s="204"/>
    </row>
    <row r="53" ht="37.5" customHeight="1">
      <c r="A53" s="15"/>
      <c r="B53" s="15"/>
      <c r="C53" s="207">
        <v>4.0</v>
      </c>
      <c r="D53" s="208" t="b">
        <v>1</v>
      </c>
      <c r="E53" s="208" t="b">
        <v>0</v>
      </c>
      <c r="F53" s="6"/>
      <c r="G53" s="231" t="s">
        <v>125</v>
      </c>
      <c r="H53" s="210">
        <v>2.052</v>
      </c>
      <c r="I53" s="211">
        <v>0.091</v>
      </c>
      <c r="J53" s="210">
        <v>0.054</v>
      </c>
      <c r="K53" s="210">
        <v>0.036</v>
      </c>
      <c r="L53" s="237" t="s">
        <v>37</v>
      </c>
      <c r="M53" s="213">
        <v>2.594</v>
      </c>
      <c r="N53" s="213">
        <v>3.514</v>
      </c>
      <c r="O53" s="6"/>
      <c r="P53" s="215">
        <f t="shared" si="22"/>
        <v>142.6368543</v>
      </c>
      <c r="Q53" s="215">
        <f t="shared" si="15"/>
        <v>105.2931133</v>
      </c>
      <c r="R53" s="228">
        <v>3.16</v>
      </c>
      <c r="S53" s="229">
        <v>1.54</v>
      </c>
      <c r="T53" s="230">
        <v>88.0</v>
      </c>
      <c r="U53" s="224">
        <f t="shared" si="16"/>
        <v>266.6666667</v>
      </c>
      <c r="V53" s="232">
        <f t="shared" si="23"/>
        <v>0.7910562837</v>
      </c>
      <c r="W53" s="225">
        <f t="shared" si="24"/>
        <v>1.264132554</v>
      </c>
      <c r="X53" s="232">
        <f t="shared" si="17"/>
        <v>4.162436548</v>
      </c>
      <c r="Y53" s="241">
        <f t="shared" si="27"/>
        <v>103.4695451</v>
      </c>
      <c r="Z53" s="241">
        <f t="shared" si="28"/>
        <v>103.4695451</v>
      </c>
      <c r="AA53" s="204"/>
      <c r="AB53" s="204"/>
      <c r="AC53" s="204"/>
      <c r="AD53" s="204"/>
      <c r="AE53" s="204"/>
      <c r="AF53" s="204"/>
      <c r="AG53" s="204"/>
      <c r="AH53" s="204"/>
      <c r="AI53" s="204"/>
    </row>
    <row r="54" ht="37.5" customHeight="1">
      <c r="A54" s="206" t="s">
        <v>132</v>
      </c>
      <c r="B54" s="206" t="s">
        <v>38</v>
      </c>
      <c r="C54" s="207">
        <v>32.0</v>
      </c>
      <c r="D54" s="208" t="b">
        <v>1</v>
      </c>
      <c r="E54" s="208" t="b">
        <v>0</v>
      </c>
      <c r="F54" s="6"/>
      <c r="G54" s="210" t="s">
        <v>124</v>
      </c>
      <c r="H54" s="210">
        <v>4960.288</v>
      </c>
      <c r="I54" s="211">
        <v>32.546</v>
      </c>
      <c r="J54" s="210">
        <v>15.769</v>
      </c>
      <c r="K54" s="210">
        <v>16.777</v>
      </c>
      <c r="L54" s="237" t="s">
        <v>37</v>
      </c>
      <c r="M54" s="213" t="s">
        <v>37</v>
      </c>
      <c r="N54" s="238" t="s">
        <v>37</v>
      </c>
      <c r="O54" s="6"/>
      <c r="P54" s="215" t="s">
        <v>37</v>
      </c>
      <c r="Q54" s="239" t="str">
        <f t="shared" si="15"/>
        <v>#VALUE!</v>
      </c>
      <c r="R54" s="228">
        <v>2.9</v>
      </c>
      <c r="S54" s="229">
        <v>0.55</v>
      </c>
      <c r="T54" s="230">
        <v>32.0</v>
      </c>
      <c r="U54" s="224">
        <f t="shared" si="16"/>
        <v>33.33333333</v>
      </c>
      <c r="V54" s="225" t="s">
        <v>37</v>
      </c>
      <c r="W54" s="225" t="s">
        <v>37</v>
      </c>
      <c r="X54" s="232">
        <f t="shared" si="17"/>
        <v>0.606116659</v>
      </c>
      <c r="Y54" s="219" t="s">
        <v>37</v>
      </c>
      <c r="Z54" s="220" t="s">
        <v>37</v>
      </c>
      <c r="AA54" s="204"/>
      <c r="AB54" s="204"/>
      <c r="AC54" s="204"/>
      <c r="AD54" s="204"/>
      <c r="AE54" s="204"/>
      <c r="AF54" s="204"/>
      <c r="AG54" s="204"/>
      <c r="AH54" s="204"/>
      <c r="AI54" s="204"/>
    </row>
    <row r="55" ht="37.5" customHeight="1">
      <c r="A55" s="6"/>
      <c r="B55" s="6"/>
      <c r="C55" s="207">
        <v>16.0</v>
      </c>
      <c r="D55" s="208" t="b">
        <v>1</v>
      </c>
      <c r="E55" s="208" t="b">
        <v>0</v>
      </c>
      <c r="F55" s="6"/>
      <c r="G55" s="210" t="s">
        <v>124</v>
      </c>
      <c r="H55" s="210">
        <v>1272.446</v>
      </c>
      <c r="I55" s="211">
        <v>16.788</v>
      </c>
      <c r="J55" s="210">
        <v>8.399</v>
      </c>
      <c r="K55" s="210">
        <v>8.388</v>
      </c>
      <c r="L55" s="237" t="s">
        <v>37</v>
      </c>
      <c r="M55" s="213" t="s">
        <v>37</v>
      </c>
      <c r="N55" s="213">
        <v>1339.204</v>
      </c>
      <c r="O55" s="6"/>
      <c r="P55" s="215" t="s">
        <v>37</v>
      </c>
      <c r="Q55" s="215">
        <f t="shared" si="15"/>
        <v>0.2762835236</v>
      </c>
      <c r="R55" s="228">
        <v>2.94</v>
      </c>
      <c r="S55" s="229">
        <v>0.59</v>
      </c>
      <c r="T55" s="230">
        <v>34.0</v>
      </c>
      <c r="U55" s="224">
        <f t="shared" si="16"/>
        <v>41.66666667</v>
      </c>
      <c r="V55" s="225">
        <f t="shared" ref="V55:V60" si="29">H55/N55</f>
        <v>0.9501509852</v>
      </c>
      <c r="W55" s="225">
        <f t="shared" ref="W55:W60" si="30">N55/H55</f>
        <v>1.052464309</v>
      </c>
      <c r="X55" s="232">
        <f t="shared" si="17"/>
        <v>1.20931372</v>
      </c>
      <c r="Y55" s="219" t="s">
        <v>37</v>
      </c>
      <c r="Z55" s="220" t="s">
        <v>37</v>
      </c>
      <c r="AA55" s="204"/>
      <c r="AB55" s="204"/>
      <c r="AC55" s="204"/>
      <c r="AD55" s="204"/>
      <c r="AE55" s="204"/>
      <c r="AF55" s="204"/>
      <c r="AG55" s="204"/>
      <c r="AH55" s="204"/>
      <c r="AI55" s="204"/>
    </row>
    <row r="56" ht="37.5" customHeight="1">
      <c r="A56" s="6"/>
      <c r="B56" s="6"/>
      <c r="C56" s="207">
        <v>8.0</v>
      </c>
      <c r="D56" s="208" t="b">
        <v>1</v>
      </c>
      <c r="E56" s="208" t="b">
        <v>0</v>
      </c>
      <c r="F56" s="6"/>
      <c r="G56" s="210" t="s">
        <v>124</v>
      </c>
      <c r="H56" s="210">
        <v>334.495</v>
      </c>
      <c r="I56" s="211">
        <v>8.916</v>
      </c>
      <c r="J56" s="210">
        <v>4.721</v>
      </c>
      <c r="K56" s="210">
        <v>4.194</v>
      </c>
      <c r="L56" s="237" t="s">
        <v>37</v>
      </c>
      <c r="M56" s="213" t="s">
        <v>37</v>
      </c>
      <c r="N56" s="213">
        <v>310.558</v>
      </c>
      <c r="O56" s="6"/>
      <c r="P56" s="215" t="s">
        <v>37</v>
      </c>
      <c r="Q56" s="215">
        <f t="shared" si="15"/>
        <v>1.19140386</v>
      </c>
      <c r="R56" s="228">
        <v>3.32</v>
      </c>
      <c r="S56" s="229">
        <v>0.86</v>
      </c>
      <c r="T56" s="230">
        <v>49.0</v>
      </c>
      <c r="U56" s="224">
        <f t="shared" si="16"/>
        <v>104.1666667</v>
      </c>
      <c r="V56" s="225">
        <f t="shared" si="29"/>
        <v>1.07707739</v>
      </c>
      <c r="W56" s="225">
        <f t="shared" si="30"/>
        <v>0.9284383922</v>
      </c>
      <c r="X56" s="232">
        <f t="shared" si="17"/>
        <v>2.40760981</v>
      </c>
      <c r="Y56" s="240">
        <f t="shared" ref="Y56:Y60" si="31">(N21/N56 - 1) *100</f>
        <v>141.8659316</v>
      </c>
      <c r="Z56" s="240">
        <f t="shared" ref="Z56:Z60" si="32">(Q56/Q21 - 1) *100</f>
        <v>141.8659316</v>
      </c>
      <c r="AA56" s="204"/>
      <c r="AB56" s="204"/>
      <c r="AC56" s="204"/>
      <c r="AD56" s="204"/>
      <c r="AE56" s="204"/>
      <c r="AF56" s="204"/>
      <c r="AG56" s="204"/>
      <c r="AH56" s="204"/>
      <c r="AI56" s="204"/>
    </row>
    <row r="57" ht="37.5" customHeight="1">
      <c r="A57" s="6"/>
      <c r="B57" s="15"/>
      <c r="C57" s="207">
        <v>4.0</v>
      </c>
      <c r="D57" s="208" t="b">
        <v>1</v>
      </c>
      <c r="E57" s="208" t="b">
        <v>0</v>
      </c>
      <c r="F57" s="6"/>
      <c r="G57" s="210" t="s">
        <v>124</v>
      </c>
      <c r="H57" s="210">
        <v>92.012</v>
      </c>
      <c r="I57" s="211">
        <v>4.981</v>
      </c>
      <c r="J57" s="210">
        <v>2.884</v>
      </c>
      <c r="K57" s="210">
        <v>2.097</v>
      </c>
      <c r="L57" s="237" t="s">
        <v>37</v>
      </c>
      <c r="M57" s="213" t="s">
        <v>37</v>
      </c>
      <c r="N57" s="213">
        <v>347.358</v>
      </c>
      <c r="O57" s="6"/>
      <c r="P57" s="215" t="s">
        <v>37</v>
      </c>
      <c r="Q57" s="215">
        <f t="shared" si="15"/>
        <v>1.065183471</v>
      </c>
      <c r="R57" s="228">
        <v>3.7</v>
      </c>
      <c r="S57" s="229">
        <v>1.31</v>
      </c>
      <c r="T57" s="230">
        <v>75.0</v>
      </c>
      <c r="U57" s="224">
        <f t="shared" si="16"/>
        <v>212.5</v>
      </c>
      <c r="V57" s="225">
        <f t="shared" si="29"/>
        <v>0.264890977</v>
      </c>
      <c r="W57" s="225">
        <f t="shared" si="30"/>
        <v>3.775138025</v>
      </c>
      <c r="X57" s="232">
        <f t="shared" si="17"/>
        <v>4.775786285</v>
      </c>
      <c r="Y57" s="240">
        <f t="shared" si="31"/>
        <v>278.1933913</v>
      </c>
      <c r="Z57" s="240">
        <f t="shared" si="32"/>
        <v>278.1933913</v>
      </c>
      <c r="AA57" s="204"/>
      <c r="AB57" s="204"/>
      <c r="AC57" s="204"/>
      <c r="AD57" s="204"/>
      <c r="AE57" s="204"/>
      <c r="AF57" s="204"/>
      <c r="AG57" s="204"/>
      <c r="AH57" s="204"/>
      <c r="AI57" s="204"/>
    </row>
    <row r="58" ht="37.5" customHeight="1">
      <c r="A58" s="6"/>
      <c r="B58" s="206" t="s">
        <v>36</v>
      </c>
      <c r="C58" s="207">
        <v>32.0</v>
      </c>
      <c r="D58" s="208" t="b">
        <v>1</v>
      </c>
      <c r="E58" s="208" t="b">
        <v>0</v>
      </c>
      <c r="F58" s="6"/>
      <c r="G58" s="210" t="s">
        <v>124</v>
      </c>
      <c r="H58" s="210">
        <v>1240.072</v>
      </c>
      <c r="I58" s="211">
        <v>8.167</v>
      </c>
      <c r="J58" s="210">
        <v>3.972</v>
      </c>
      <c r="K58" s="210">
        <v>4.194</v>
      </c>
      <c r="L58" s="237" t="s">
        <v>37</v>
      </c>
      <c r="M58" s="213" t="s">
        <v>37</v>
      </c>
      <c r="N58" s="213">
        <v>473.849</v>
      </c>
      <c r="O58" s="6"/>
      <c r="P58" s="215" t="s">
        <v>37</v>
      </c>
      <c r="Q58" s="215">
        <f t="shared" si="15"/>
        <v>0.7808394657</v>
      </c>
      <c r="R58" s="228">
        <v>2.62</v>
      </c>
      <c r="S58" s="229">
        <v>0.64</v>
      </c>
      <c r="T58" s="230">
        <v>37.0</v>
      </c>
      <c r="U58" s="224">
        <f t="shared" si="16"/>
        <v>54.16666667</v>
      </c>
      <c r="V58" s="225">
        <f t="shared" si="29"/>
        <v>2.617019346</v>
      </c>
      <c r="W58" s="225">
        <f t="shared" si="30"/>
        <v>0.3821141031</v>
      </c>
      <c r="X58" s="232">
        <f t="shared" si="17"/>
        <v>0.606116659</v>
      </c>
      <c r="Y58" s="240">
        <f t="shared" si="31"/>
        <v>383.9744307</v>
      </c>
      <c r="Z58" s="240">
        <f t="shared" si="32"/>
        <v>383.9744307</v>
      </c>
      <c r="AA58" s="204"/>
      <c r="AB58" s="204"/>
      <c r="AC58" s="204"/>
      <c r="AD58" s="204"/>
      <c r="AE58" s="204"/>
      <c r="AF58" s="204"/>
      <c r="AG58" s="204"/>
      <c r="AH58" s="204"/>
      <c r="AI58" s="204"/>
    </row>
    <row r="59" ht="37.5" customHeight="1">
      <c r="A59" s="6"/>
      <c r="B59" s="6"/>
      <c r="C59" s="207">
        <v>16.0</v>
      </c>
      <c r="D59" s="208" t="b">
        <v>1</v>
      </c>
      <c r="E59" s="208" t="b">
        <v>0</v>
      </c>
      <c r="F59" s="6"/>
      <c r="G59" s="210" t="s">
        <v>124</v>
      </c>
      <c r="H59" s="210">
        <v>318.111</v>
      </c>
      <c r="I59" s="211">
        <v>4.205</v>
      </c>
      <c r="J59" s="210">
        <v>2.108</v>
      </c>
      <c r="K59" s="210">
        <v>2.097</v>
      </c>
      <c r="L59" s="237" t="s">
        <v>37</v>
      </c>
      <c r="M59" s="213" t="s">
        <v>37</v>
      </c>
      <c r="N59" s="213">
        <v>223.516</v>
      </c>
      <c r="O59" s="6"/>
      <c r="P59" s="215" t="s">
        <v>37</v>
      </c>
      <c r="Q59" s="215">
        <f t="shared" si="15"/>
        <v>1.65536248</v>
      </c>
      <c r="R59" s="228">
        <v>2.71</v>
      </c>
      <c r="S59" s="229">
        <v>0.66</v>
      </c>
      <c r="T59" s="230">
        <v>38.0</v>
      </c>
      <c r="U59" s="224">
        <f t="shared" si="16"/>
        <v>58.33333333</v>
      </c>
      <c r="V59" s="225">
        <f t="shared" si="29"/>
        <v>1.423213551</v>
      </c>
      <c r="W59" s="225">
        <f t="shared" si="30"/>
        <v>0.7026352437</v>
      </c>
      <c r="X59" s="232">
        <f t="shared" si="17"/>
        <v>1.209315644</v>
      </c>
      <c r="Y59" s="240">
        <f t="shared" si="31"/>
        <v>289.0271837</v>
      </c>
      <c r="Z59" s="240">
        <f t="shared" si="32"/>
        <v>289.0271837</v>
      </c>
      <c r="AA59" s="204"/>
      <c r="AB59" s="204"/>
      <c r="AC59" s="204"/>
      <c r="AD59" s="204"/>
      <c r="AE59" s="204"/>
      <c r="AF59" s="204"/>
      <c r="AG59" s="204"/>
      <c r="AH59" s="204"/>
      <c r="AI59" s="204"/>
    </row>
    <row r="60" ht="37.5" customHeight="1">
      <c r="A60" s="6"/>
      <c r="B60" s="6"/>
      <c r="C60" s="207">
        <v>8.0</v>
      </c>
      <c r="D60" s="208" t="b">
        <v>1</v>
      </c>
      <c r="E60" s="208" t="b">
        <v>0</v>
      </c>
      <c r="F60" s="6"/>
      <c r="G60" s="210" t="s">
        <v>124</v>
      </c>
      <c r="H60" s="210">
        <v>83.623</v>
      </c>
      <c r="I60" s="211">
        <v>2.231</v>
      </c>
      <c r="J60" s="210">
        <v>1.182</v>
      </c>
      <c r="K60" s="210">
        <v>1.048</v>
      </c>
      <c r="L60" s="237" t="s">
        <v>37</v>
      </c>
      <c r="M60" s="213" t="s">
        <v>37</v>
      </c>
      <c r="N60" s="213">
        <v>63.68</v>
      </c>
      <c r="O60" s="6"/>
      <c r="P60" s="215" t="s">
        <v>37</v>
      </c>
      <c r="Q60" s="215">
        <f t="shared" si="15"/>
        <v>5.810301508</v>
      </c>
      <c r="R60" s="228">
        <v>2.98</v>
      </c>
      <c r="S60" s="229">
        <v>0.98</v>
      </c>
      <c r="T60" s="230">
        <v>56.0</v>
      </c>
      <c r="U60" s="224">
        <f t="shared" si="16"/>
        <v>133.3333333</v>
      </c>
      <c r="V60" s="225">
        <f t="shared" si="29"/>
        <v>1.313175251</v>
      </c>
      <c r="W60" s="225">
        <f t="shared" si="30"/>
        <v>0.7615129809</v>
      </c>
      <c r="X60" s="232">
        <f t="shared" si="17"/>
        <v>2.407631924</v>
      </c>
      <c r="Y60" s="240">
        <f t="shared" si="31"/>
        <v>167.7575377</v>
      </c>
      <c r="Z60" s="240">
        <f t="shared" si="32"/>
        <v>167.7575377</v>
      </c>
      <c r="AA60" s="204"/>
      <c r="AB60" s="204"/>
      <c r="AC60" s="204"/>
      <c r="AD60" s="204"/>
      <c r="AE60" s="204"/>
      <c r="AF60" s="204"/>
      <c r="AG60" s="204"/>
      <c r="AH60" s="204"/>
      <c r="AI60" s="204"/>
    </row>
    <row r="61" ht="37.5" customHeight="1">
      <c r="A61" s="6"/>
      <c r="B61" s="15"/>
      <c r="C61" s="207">
        <v>4.0</v>
      </c>
      <c r="D61" s="208" t="b">
        <v>1</v>
      </c>
      <c r="E61" s="208" t="b">
        <v>0</v>
      </c>
      <c r="F61" s="6"/>
      <c r="G61" s="231" t="s">
        <v>125</v>
      </c>
      <c r="H61" s="210">
        <v>23.003</v>
      </c>
      <c r="I61" s="211">
        <v>1.246</v>
      </c>
      <c r="J61" s="210">
        <v>0.721</v>
      </c>
      <c r="K61" s="210">
        <v>0.524</v>
      </c>
      <c r="L61" s="237" t="s">
        <v>37</v>
      </c>
      <c r="M61" s="213">
        <v>41.161</v>
      </c>
      <c r="N61" s="213">
        <v>53.365</v>
      </c>
      <c r="O61" s="6"/>
      <c r="P61" s="215">
        <f>1/(M61/O$38)</f>
        <v>8.989091616</v>
      </c>
      <c r="Q61" s="215">
        <f t="shared" si="15"/>
        <v>6.933383304</v>
      </c>
      <c r="R61" s="228">
        <v>3.29</v>
      </c>
      <c r="S61" s="229">
        <v>1.35</v>
      </c>
      <c r="T61" s="230">
        <v>77.0</v>
      </c>
      <c r="U61" s="224">
        <f t="shared" si="16"/>
        <v>220.8333333</v>
      </c>
      <c r="V61" s="232">
        <f>H61/M61</f>
        <v>0.5588542552</v>
      </c>
      <c r="W61" s="225">
        <f>M61/H61</f>
        <v>1.789375299</v>
      </c>
      <c r="X61" s="232">
        <f t="shared" si="17"/>
        <v>4.778172543</v>
      </c>
      <c r="Y61" s="241">
        <f>(N26/M61 - 1) *100</f>
        <v>620.2740458</v>
      </c>
      <c r="Z61" s="241">
        <f>(P61/Q26 - 1) *100</f>
        <v>620.2740458</v>
      </c>
      <c r="AA61" s="204"/>
      <c r="AB61" s="204"/>
      <c r="AC61" s="204"/>
      <c r="AD61" s="204"/>
      <c r="AE61" s="204"/>
      <c r="AF61" s="204"/>
      <c r="AG61" s="204"/>
      <c r="AH61" s="204"/>
      <c r="AI61" s="204"/>
    </row>
    <row r="62" ht="37.5" customHeight="1">
      <c r="A62" s="6"/>
      <c r="B62" s="206" t="s">
        <v>65</v>
      </c>
      <c r="C62" s="207">
        <v>32.0</v>
      </c>
      <c r="D62" s="208" t="b">
        <v>1</v>
      </c>
      <c r="E62" s="208" t="b">
        <v>0</v>
      </c>
      <c r="F62" s="6"/>
      <c r="G62" s="210" t="s">
        <v>124</v>
      </c>
      <c r="H62" s="210">
        <v>310.018</v>
      </c>
      <c r="I62" s="211">
        <v>2.072</v>
      </c>
      <c r="J62" s="210">
        <v>1.023</v>
      </c>
      <c r="K62" s="210">
        <v>1.048</v>
      </c>
      <c r="L62" s="237" t="s">
        <v>37</v>
      </c>
      <c r="M62" s="213" t="s">
        <v>37</v>
      </c>
      <c r="N62" s="213">
        <v>99.248</v>
      </c>
      <c r="O62" s="6"/>
      <c r="P62" s="215" t="s">
        <v>37</v>
      </c>
      <c r="Q62" s="215">
        <f t="shared" si="15"/>
        <v>3.728034822</v>
      </c>
      <c r="R62" s="228">
        <v>2.73</v>
      </c>
      <c r="S62" s="229">
        <v>0.95</v>
      </c>
      <c r="T62" s="230">
        <v>55.0</v>
      </c>
      <c r="U62" s="224">
        <f t="shared" si="16"/>
        <v>129.1666667</v>
      </c>
      <c r="V62" s="225">
        <f>H62/N62</f>
        <v>3.123669998</v>
      </c>
      <c r="W62" s="225">
        <f>N62/H62</f>
        <v>0.3201362502</v>
      </c>
      <c r="X62" s="232">
        <f t="shared" si="17"/>
        <v>0.6061982801</v>
      </c>
      <c r="Y62" s="240">
        <f>(N27/N62 - 1) *100</f>
        <v>394.5691601</v>
      </c>
      <c r="Z62" s="240">
        <f>(Q62/Q27 - 1) *100</f>
        <v>394.5691601</v>
      </c>
      <c r="AA62" s="204"/>
      <c r="AB62" s="204"/>
      <c r="AC62" s="204"/>
      <c r="AD62" s="204"/>
      <c r="AE62" s="204"/>
      <c r="AF62" s="204"/>
      <c r="AG62" s="204"/>
      <c r="AH62" s="204"/>
      <c r="AI62" s="204"/>
    </row>
    <row r="63" ht="37.5" customHeight="1">
      <c r="A63" s="6"/>
      <c r="B63" s="6"/>
      <c r="C63" s="207">
        <v>16.0</v>
      </c>
      <c r="D63" s="208" t="b">
        <v>1</v>
      </c>
      <c r="E63" s="208" t="b">
        <v>0</v>
      </c>
      <c r="F63" s="6"/>
      <c r="G63" s="231" t="s">
        <v>125</v>
      </c>
      <c r="H63" s="210">
        <v>79.527</v>
      </c>
      <c r="I63" s="211">
        <v>1.059</v>
      </c>
      <c r="J63" s="210">
        <v>0.535</v>
      </c>
      <c r="K63" s="210">
        <v>0.524</v>
      </c>
      <c r="L63" s="237" t="s">
        <v>37</v>
      </c>
      <c r="M63" s="213">
        <v>16.104</v>
      </c>
      <c r="N63" s="213">
        <v>44.286</v>
      </c>
      <c r="O63" s="6"/>
      <c r="P63" s="215">
        <f t="shared" ref="P63:P69" si="33">1/(M63/O$38)</f>
        <v>22.97565822</v>
      </c>
      <c r="Q63" s="215">
        <f t="shared" si="15"/>
        <v>8.354784808</v>
      </c>
      <c r="R63" s="228">
        <v>2.99</v>
      </c>
      <c r="S63" s="229">
        <v>0.96</v>
      </c>
      <c r="T63" s="230">
        <v>55.0</v>
      </c>
      <c r="U63" s="224">
        <f t="shared" si="16"/>
        <v>129.1666667</v>
      </c>
      <c r="V63" s="232">
        <f t="shared" ref="V63:V69" si="34">H63/M63</f>
        <v>4.938338301</v>
      </c>
      <c r="W63" s="225">
        <f t="shared" ref="W63:W69" si="35">M63/H63</f>
        <v>0.2024972651</v>
      </c>
      <c r="X63" s="232">
        <f t="shared" si="17"/>
        <v>1.20900518</v>
      </c>
      <c r="Y63" s="241">
        <f t="shared" ref="Y63:Y64" si="36">(N28/M63 - 1) *100</f>
        <v>889.7913562</v>
      </c>
      <c r="Z63" s="241">
        <f t="shared" ref="Z63:Z64" si="37">(P63/Q28 - 1) *100</f>
        <v>889.7913562</v>
      </c>
      <c r="AA63" s="204"/>
      <c r="AB63" s="204"/>
      <c r="AC63" s="204"/>
      <c r="AD63" s="204"/>
      <c r="AE63" s="204"/>
      <c r="AF63" s="204"/>
      <c r="AG63" s="204"/>
      <c r="AH63" s="204"/>
      <c r="AI63" s="204"/>
    </row>
    <row r="64" ht="37.5" customHeight="1">
      <c r="A64" s="6"/>
      <c r="B64" s="6"/>
      <c r="C64" s="207">
        <v>8.0</v>
      </c>
      <c r="D64" s="208" t="b">
        <v>1</v>
      </c>
      <c r="E64" s="208" t="b">
        <v>0</v>
      </c>
      <c r="F64" s="6"/>
      <c r="G64" s="231" t="s">
        <v>125</v>
      </c>
      <c r="H64" s="210">
        <v>20.905</v>
      </c>
      <c r="I64" s="211">
        <v>0.56</v>
      </c>
      <c r="J64" s="210">
        <v>0.298</v>
      </c>
      <c r="K64" s="210">
        <v>0.262</v>
      </c>
      <c r="L64" s="237" t="s">
        <v>37</v>
      </c>
      <c r="M64" s="213">
        <v>10.982</v>
      </c>
      <c r="N64" s="213">
        <v>14.536</v>
      </c>
      <c r="O64" s="6"/>
      <c r="P64" s="215">
        <f t="shared" si="33"/>
        <v>33.69149517</v>
      </c>
      <c r="Q64" s="215">
        <f t="shared" si="15"/>
        <v>25.45404513</v>
      </c>
      <c r="R64" s="228">
        <v>3.03</v>
      </c>
      <c r="S64" s="229">
        <v>1.26</v>
      </c>
      <c r="T64" s="230">
        <v>72.0</v>
      </c>
      <c r="U64" s="224">
        <f t="shared" si="16"/>
        <v>200</v>
      </c>
      <c r="V64" s="232">
        <f t="shared" si="34"/>
        <v>1.903569477</v>
      </c>
      <c r="W64" s="225">
        <f t="shared" si="35"/>
        <v>0.5253288687</v>
      </c>
      <c r="X64" s="232">
        <f t="shared" si="17"/>
        <v>2.405212109</v>
      </c>
      <c r="Y64" s="241">
        <f t="shared" si="36"/>
        <v>233.1815698</v>
      </c>
      <c r="Z64" s="241">
        <f t="shared" si="37"/>
        <v>233.1815698</v>
      </c>
      <c r="AA64" s="204"/>
      <c r="AB64" s="204"/>
      <c r="AC64" s="204"/>
      <c r="AD64" s="204"/>
      <c r="AE64" s="204"/>
      <c r="AF64" s="204"/>
      <c r="AG64" s="204"/>
      <c r="AH64" s="204"/>
      <c r="AI64" s="204"/>
    </row>
    <row r="65" ht="37.5" customHeight="1">
      <c r="A65" s="6"/>
      <c r="B65" s="15"/>
      <c r="C65" s="207">
        <v>4.0</v>
      </c>
      <c r="D65" s="208" t="b">
        <v>1</v>
      </c>
      <c r="E65" s="208" t="b">
        <v>0</v>
      </c>
      <c r="F65" s="6"/>
      <c r="G65" s="231" t="s">
        <v>125</v>
      </c>
      <c r="H65" s="210">
        <v>5.75</v>
      </c>
      <c r="I65" s="211">
        <v>0.312</v>
      </c>
      <c r="J65" s="210">
        <v>0.181</v>
      </c>
      <c r="K65" s="210">
        <v>0.131</v>
      </c>
      <c r="L65" s="237" t="s">
        <v>37</v>
      </c>
      <c r="M65" s="213">
        <v>9.597</v>
      </c>
      <c r="N65" s="213">
        <v>11.413</v>
      </c>
      <c r="O65" s="6"/>
      <c r="P65" s="215">
        <f t="shared" si="33"/>
        <v>38.5537147</v>
      </c>
      <c r="Q65" s="215">
        <f t="shared" si="15"/>
        <v>32.41917112</v>
      </c>
      <c r="R65" s="228">
        <v>3.23</v>
      </c>
      <c r="S65" s="229">
        <v>1.49</v>
      </c>
      <c r="T65" s="230">
        <v>85.0</v>
      </c>
      <c r="U65" s="224">
        <f t="shared" si="16"/>
        <v>254.1666667</v>
      </c>
      <c r="V65" s="232">
        <f t="shared" si="34"/>
        <v>0.5991455663</v>
      </c>
      <c r="W65" s="225">
        <f t="shared" si="35"/>
        <v>1.669043478</v>
      </c>
      <c r="X65" s="232">
        <f t="shared" si="17"/>
        <v>4.774052478</v>
      </c>
      <c r="Y65" s="241">
        <f>(M30/M65 - 1) *100</f>
        <v>177.0449099</v>
      </c>
      <c r="Z65" s="241">
        <f>(P65/P30 - 1) *100</f>
        <v>177.0449099</v>
      </c>
      <c r="AA65" s="204"/>
      <c r="AB65" s="204"/>
      <c r="AC65" s="204"/>
      <c r="AD65" s="204"/>
      <c r="AE65" s="204"/>
      <c r="AF65" s="204"/>
      <c r="AG65" s="204"/>
      <c r="AH65" s="204"/>
      <c r="AI65" s="204"/>
    </row>
    <row r="66" ht="37.5" customHeight="1">
      <c r="A66" s="6"/>
      <c r="B66" s="206" t="s">
        <v>64</v>
      </c>
      <c r="C66" s="207">
        <v>32.0</v>
      </c>
      <c r="D66" s="208" t="b">
        <v>1</v>
      </c>
      <c r="E66" s="208" t="b">
        <v>0</v>
      </c>
      <c r="F66" s="6"/>
      <c r="G66" s="231" t="s">
        <v>125</v>
      </c>
      <c r="H66" s="210">
        <v>77.504</v>
      </c>
      <c r="I66" s="211">
        <v>0.548</v>
      </c>
      <c r="J66" s="210">
        <v>0.286</v>
      </c>
      <c r="K66" s="210">
        <v>0.262</v>
      </c>
      <c r="L66" s="237" t="s">
        <v>37</v>
      </c>
      <c r="M66" s="213">
        <v>7.038</v>
      </c>
      <c r="N66" s="213">
        <v>11.391</v>
      </c>
      <c r="O66" s="6"/>
      <c r="P66" s="215">
        <f t="shared" si="33"/>
        <v>52.57175334</v>
      </c>
      <c r="Q66" s="215">
        <f t="shared" si="15"/>
        <v>32.48178386</v>
      </c>
      <c r="R66" s="228">
        <v>2.83</v>
      </c>
      <c r="S66" s="229">
        <v>1.3</v>
      </c>
      <c r="T66" s="230">
        <v>75.0</v>
      </c>
      <c r="U66" s="224">
        <f t="shared" si="16"/>
        <v>212.5</v>
      </c>
      <c r="V66" s="232">
        <f t="shared" si="34"/>
        <v>11.01221938</v>
      </c>
      <c r="W66" s="225">
        <f t="shared" si="35"/>
        <v>0.09080821635</v>
      </c>
      <c r="X66" s="232">
        <f t="shared" si="17"/>
        <v>0.6062022145</v>
      </c>
      <c r="Y66" s="241">
        <f>(N31/M66 - 1) *100</f>
        <v>1430.107985</v>
      </c>
      <c r="Z66" s="241">
        <f>(P66/Q31 - 1) *100</f>
        <v>1430.107985</v>
      </c>
      <c r="AA66" s="204"/>
      <c r="AB66" s="204"/>
      <c r="AC66" s="204"/>
      <c r="AD66" s="204"/>
      <c r="AE66" s="204"/>
      <c r="AF66" s="204"/>
      <c r="AG66" s="204"/>
      <c r="AH66" s="204"/>
      <c r="AI66" s="204"/>
    </row>
    <row r="67" ht="37.5" customHeight="1">
      <c r="A67" s="6"/>
      <c r="B67" s="6"/>
      <c r="C67" s="207">
        <v>16.0</v>
      </c>
      <c r="D67" s="208" t="b">
        <v>1</v>
      </c>
      <c r="E67" s="208" t="b">
        <v>0</v>
      </c>
      <c r="F67" s="6"/>
      <c r="G67" s="231" t="s">
        <v>125</v>
      </c>
      <c r="H67" s="210">
        <v>19.881</v>
      </c>
      <c r="I67" s="211">
        <v>0.273</v>
      </c>
      <c r="J67" s="210">
        <v>0.142</v>
      </c>
      <c r="K67" s="210">
        <v>0.131</v>
      </c>
      <c r="L67" s="237" t="s">
        <v>37</v>
      </c>
      <c r="M67" s="213">
        <v>3.862</v>
      </c>
      <c r="N67" s="213">
        <v>5.567</v>
      </c>
      <c r="O67" s="6"/>
      <c r="P67" s="215">
        <f t="shared" si="33"/>
        <v>95.80528224</v>
      </c>
      <c r="Q67" s="215">
        <f t="shared" si="15"/>
        <v>66.46308604</v>
      </c>
      <c r="R67" s="228">
        <v>2.97</v>
      </c>
      <c r="S67" s="229">
        <v>1.14</v>
      </c>
      <c r="T67" s="230">
        <v>65.0</v>
      </c>
      <c r="U67" s="224">
        <f t="shared" si="16"/>
        <v>170.8333333</v>
      </c>
      <c r="V67" s="232">
        <f t="shared" si="34"/>
        <v>5.147850854</v>
      </c>
      <c r="W67" s="225">
        <f t="shared" si="35"/>
        <v>0.1942558221</v>
      </c>
      <c r="X67" s="232">
        <f t="shared" si="17"/>
        <v>1.20647526</v>
      </c>
      <c r="Y67" s="241">
        <f t="shared" ref="Y67:Y69" si="38">(M32/M67 - 1) *100</f>
        <v>402.7705852</v>
      </c>
      <c r="Z67" s="241">
        <f t="shared" ref="Z67:Z69" si="39">(P67/P32 - 1) *100</f>
        <v>402.7705852</v>
      </c>
      <c r="AA67" s="204"/>
      <c r="AB67" s="204"/>
      <c r="AC67" s="204"/>
      <c r="AD67" s="204"/>
      <c r="AE67" s="204"/>
      <c r="AF67" s="204"/>
      <c r="AG67" s="204"/>
      <c r="AH67" s="204"/>
      <c r="AI67" s="204"/>
    </row>
    <row r="68" ht="37.5" customHeight="1">
      <c r="A68" s="6"/>
      <c r="B68" s="6"/>
      <c r="C68" s="207">
        <v>8.0</v>
      </c>
      <c r="D68" s="208" t="b">
        <v>1</v>
      </c>
      <c r="E68" s="208" t="b">
        <v>0</v>
      </c>
      <c r="F68" s="6"/>
      <c r="G68" s="231" t="s">
        <v>125</v>
      </c>
      <c r="H68" s="210">
        <v>5.226</v>
      </c>
      <c r="I68" s="211">
        <v>0.142</v>
      </c>
      <c r="J68" s="210">
        <v>0.076</v>
      </c>
      <c r="K68" s="210">
        <v>0.065</v>
      </c>
      <c r="L68" s="237" t="s">
        <v>37</v>
      </c>
      <c r="M68" s="213">
        <v>2.809</v>
      </c>
      <c r="N68" s="213">
        <v>4.003</v>
      </c>
      <c r="O68" s="6"/>
      <c r="P68" s="215">
        <f t="shared" si="33"/>
        <v>131.7194731</v>
      </c>
      <c r="Q68" s="215">
        <f t="shared" si="15"/>
        <v>92.43067699</v>
      </c>
      <c r="R68" s="228">
        <v>3.0</v>
      </c>
      <c r="S68" s="229">
        <v>1.42</v>
      </c>
      <c r="T68" s="230">
        <v>81.0</v>
      </c>
      <c r="U68" s="224">
        <f t="shared" si="16"/>
        <v>237.5</v>
      </c>
      <c r="V68" s="232">
        <f t="shared" si="34"/>
        <v>1.860448558</v>
      </c>
      <c r="W68" s="225">
        <f t="shared" si="35"/>
        <v>0.5375047838</v>
      </c>
      <c r="X68" s="232">
        <f t="shared" si="17"/>
        <v>2.410346855</v>
      </c>
      <c r="Y68" s="241">
        <f t="shared" si="38"/>
        <v>112.3175507</v>
      </c>
      <c r="Z68" s="241">
        <f t="shared" si="39"/>
        <v>112.3175507</v>
      </c>
      <c r="AA68" s="204"/>
      <c r="AB68" s="204"/>
      <c r="AC68" s="204"/>
      <c r="AD68" s="204"/>
      <c r="AE68" s="204"/>
      <c r="AF68" s="204"/>
      <c r="AG68" s="204"/>
      <c r="AH68" s="204"/>
      <c r="AI68" s="204"/>
    </row>
    <row r="69" ht="37.5" customHeight="1">
      <c r="A69" s="15"/>
      <c r="B69" s="15"/>
      <c r="C69" s="207">
        <v>4.0</v>
      </c>
      <c r="D69" s="208" t="b">
        <v>1</v>
      </c>
      <c r="E69" s="208" t="b">
        <v>0</v>
      </c>
      <c r="F69" s="15"/>
      <c r="G69" s="231" t="s">
        <v>125</v>
      </c>
      <c r="H69" s="210">
        <v>1.437</v>
      </c>
      <c r="I69" s="211">
        <v>0.078</v>
      </c>
      <c r="J69" s="210">
        <v>0.046</v>
      </c>
      <c r="K69" s="210">
        <v>0.032</v>
      </c>
      <c r="L69" s="237" t="s">
        <v>37</v>
      </c>
      <c r="M69" s="213">
        <v>2.442</v>
      </c>
      <c r="N69" s="213">
        <v>3.389</v>
      </c>
      <c r="O69" s="15"/>
      <c r="P69" s="215">
        <f t="shared" si="33"/>
        <v>151.5151515</v>
      </c>
      <c r="Q69" s="215">
        <f t="shared" si="15"/>
        <v>109.1767483</v>
      </c>
      <c r="R69" s="228">
        <v>3.2</v>
      </c>
      <c r="S69" s="229">
        <v>1.59</v>
      </c>
      <c r="T69" s="230">
        <v>91.0</v>
      </c>
      <c r="U69" s="224">
        <f t="shared" si="16"/>
        <v>279.1666667</v>
      </c>
      <c r="V69" s="232">
        <f t="shared" si="34"/>
        <v>0.5884520885</v>
      </c>
      <c r="W69" s="225">
        <f t="shared" si="35"/>
        <v>1.699373695</v>
      </c>
      <c r="X69" s="232">
        <f t="shared" si="17"/>
        <v>4.737609329</v>
      </c>
      <c r="Y69" s="241">
        <f t="shared" si="38"/>
        <v>55.07780508</v>
      </c>
      <c r="Z69" s="241">
        <f t="shared" si="39"/>
        <v>55.07780508</v>
      </c>
      <c r="AA69" s="204"/>
      <c r="AB69" s="204"/>
      <c r="AC69" s="204"/>
      <c r="AD69" s="204"/>
      <c r="AE69" s="204"/>
      <c r="AF69" s="204"/>
      <c r="AG69" s="204"/>
      <c r="AH69" s="204"/>
      <c r="AI69" s="204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42">
        <f>AVERAGE(U38:U69,U20:U34,U4:U19)</f>
        <v>148.6772487</v>
      </c>
      <c r="V71" s="204"/>
      <c r="W71" s="204"/>
      <c r="X71" s="204"/>
      <c r="Y71" s="204"/>
      <c r="Z71" s="243">
        <f>AVERAGE(Z40:Z69)</f>
        <v>439.2100432</v>
      </c>
      <c r="AA71" s="204"/>
      <c r="AB71" s="204"/>
      <c r="AC71" s="204"/>
      <c r="AD71" s="204"/>
      <c r="AE71" s="204"/>
      <c r="AF71" s="204"/>
      <c r="AG71" s="204"/>
      <c r="AH71" s="204"/>
      <c r="AI71" s="204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</row>
    <row r="975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</row>
    <row r="976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</row>
    <row r="977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</row>
    <row r="978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</row>
    <row r="979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</row>
    <row r="980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</row>
    <row r="98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</row>
    <row r="982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</row>
    <row r="983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</row>
    <row r="984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</row>
    <row r="985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</row>
    <row r="986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</row>
    <row r="987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</row>
    <row r="988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</row>
    <row r="989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</row>
    <row r="990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</row>
    <row r="99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</row>
    <row r="992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</row>
    <row r="993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</row>
    <row r="994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</row>
    <row r="995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</row>
    <row r="996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</row>
    <row r="997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</row>
    <row r="998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</row>
    <row r="999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</row>
    <row r="1000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</row>
    <row r="1001">
      <c r="A1001" s="204"/>
      <c r="B1001" s="204"/>
      <c r="C1001" s="204"/>
      <c r="D1001" s="204"/>
      <c r="E1001" s="204"/>
      <c r="F1001" s="204"/>
      <c r="G1001" s="204"/>
      <c r="H1001" s="204"/>
      <c r="I1001" s="204"/>
      <c r="J1001" s="204"/>
      <c r="K1001" s="204"/>
      <c r="L1001" s="204"/>
      <c r="M1001" s="204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  <c r="AF1001" s="204"/>
      <c r="AG1001" s="204"/>
      <c r="AH1001" s="204"/>
      <c r="AI1001" s="204"/>
    </row>
    <row r="1002">
      <c r="A1002" s="204"/>
      <c r="B1002" s="204"/>
      <c r="C1002" s="204"/>
      <c r="D1002" s="204"/>
      <c r="E1002" s="204"/>
      <c r="F1002" s="204"/>
      <c r="G1002" s="204"/>
      <c r="H1002" s="204"/>
      <c r="I1002" s="204"/>
      <c r="J1002" s="204"/>
      <c r="K1002" s="204"/>
      <c r="L1002" s="204"/>
      <c r="M1002" s="204"/>
      <c r="N1002" s="204"/>
      <c r="O1002" s="204"/>
      <c r="P1002" s="204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204"/>
      <c r="AC1002" s="204"/>
      <c r="AD1002" s="204"/>
      <c r="AE1002" s="204"/>
      <c r="AF1002" s="204"/>
      <c r="AG1002" s="204"/>
      <c r="AH1002" s="204"/>
      <c r="AI1002" s="204"/>
    </row>
    <row r="1003">
      <c r="A1003" s="204"/>
      <c r="B1003" s="204"/>
      <c r="C1003" s="204"/>
      <c r="D1003" s="204"/>
      <c r="E1003" s="204"/>
      <c r="F1003" s="204"/>
      <c r="G1003" s="204"/>
      <c r="H1003" s="204"/>
      <c r="I1003" s="204"/>
      <c r="J1003" s="204"/>
      <c r="K1003" s="204"/>
      <c r="L1003" s="204"/>
      <c r="M1003" s="204"/>
      <c r="N1003" s="204"/>
      <c r="O1003" s="204"/>
      <c r="P1003" s="204"/>
      <c r="Q1003" s="204"/>
      <c r="R1003" s="204"/>
      <c r="S1003" s="204"/>
      <c r="T1003" s="204"/>
      <c r="U1003" s="204"/>
      <c r="V1003" s="204"/>
      <c r="W1003" s="204"/>
      <c r="X1003" s="204"/>
      <c r="Y1003" s="204"/>
      <c r="Z1003" s="204"/>
      <c r="AA1003" s="204"/>
      <c r="AB1003" s="204"/>
      <c r="AC1003" s="204"/>
      <c r="AD1003" s="204"/>
      <c r="AE1003" s="204"/>
      <c r="AF1003" s="204"/>
      <c r="AG1003" s="204"/>
      <c r="AH1003" s="204"/>
      <c r="AI1003" s="204"/>
    </row>
    <row r="1004">
      <c r="A1004" s="204"/>
      <c r="B1004" s="204"/>
      <c r="C1004" s="204"/>
      <c r="D1004" s="204"/>
      <c r="E1004" s="204"/>
      <c r="F1004" s="204"/>
      <c r="G1004" s="204"/>
      <c r="H1004" s="204"/>
      <c r="I1004" s="204"/>
      <c r="J1004" s="204"/>
      <c r="K1004" s="204"/>
      <c r="L1004" s="204"/>
      <c r="M1004" s="204"/>
      <c r="N1004" s="204"/>
      <c r="O1004" s="204"/>
      <c r="P1004" s="204"/>
      <c r="Q1004" s="204"/>
      <c r="R1004" s="204"/>
      <c r="S1004" s="204"/>
      <c r="T1004" s="204"/>
      <c r="U1004" s="204"/>
      <c r="V1004" s="204"/>
      <c r="W1004" s="204"/>
      <c r="X1004" s="204"/>
      <c r="Y1004" s="204"/>
      <c r="Z1004" s="204"/>
      <c r="AA1004" s="204"/>
      <c r="AB1004" s="204"/>
      <c r="AC1004" s="204"/>
      <c r="AD1004" s="204"/>
      <c r="AE1004" s="204"/>
      <c r="AF1004" s="204"/>
      <c r="AG1004" s="204"/>
      <c r="AH1004" s="204"/>
      <c r="AI1004" s="204"/>
    </row>
    <row r="1005">
      <c r="A1005" s="204"/>
      <c r="B1005" s="204"/>
      <c r="C1005" s="204"/>
      <c r="D1005" s="204"/>
      <c r="E1005" s="204"/>
      <c r="F1005" s="204"/>
      <c r="G1005" s="204"/>
      <c r="H1005" s="204"/>
      <c r="I1005" s="204"/>
      <c r="J1005" s="204"/>
      <c r="K1005" s="204"/>
      <c r="L1005" s="204"/>
      <c r="M1005" s="204"/>
      <c r="N1005" s="204"/>
      <c r="O1005" s="204"/>
      <c r="P1005" s="204"/>
      <c r="Q1005" s="204"/>
      <c r="R1005" s="204"/>
      <c r="S1005" s="204"/>
      <c r="T1005" s="204"/>
      <c r="U1005" s="204"/>
      <c r="V1005" s="204"/>
      <c r="W1005" s="204"/>
      <c r="X1005" s="204"/>
      <c r="Y1005" s="204"/>
      <c r="Z1005" s="204"/>
      <c r="AA1005" s="204"/>
      <c r="AB1005" s="204"/>
      <c r="AC1005" s="204"/>
      <c r="AD1005" s="204"/>
      <c r="AE1005" s="204"/>
      <c r="AF1005" s="204"/>
      <c r="AG1005" s="204"/>
      <c r="AH1005" s="204"/>
      <c r="AI1005" s="204"/>
    </row>
    <row r="1006">
      <c r="A1006" s="204"/>
      <c r="B1006" s="204"/>
      <c r="C1006" s="204"/>
      <c r="D1006" s="204"/>
      <c r="E1006" s="204"/>
      <c r="F1006" s="204"/>
      <c r="G1006" s="204"/>
      <c r="H1006" s="204"/>
      <c r="I1006" s="204"/>
      <c r="J1006" s="204"/>
      <c r="K1006" s="204"/>
      <c r="L1006" s="204"/>
      <c r="M1006" s="204"/>
      <c r="N1006" s="204"/>
      <c r="O1006" s="204"/>
      <c r="P1006" s="204"/>
      <c r="Q1006" s="204"/>
      <c r="R1006" s="204"/>
      <c r="S1006" s="204"/>
      <c r="T1006" s="204"/>
      <c r="U1006" s="204"/>
      <c r="V1006" s="204"/>
      <c r="W1006" s="204"/>
      <c r="X1006" s="204"/>
      <c r="Y1006" s="204"/>
      <c r="Z1006" s="204"/>
      <c r="AA1006" s="204"/>
      <c r="AB1006" s="204"/>
      <c r="AC1006" s="204"/>
      <c r="AD1006" s="204"/>
      <c r="AE1006" s="204"/>
      <c r="AF1006" s="204"/>
      <c r="AG1006" s="204"/>
      <c r="AH1006" s="204"/>
      <c r="AI1006" s="204"/>
    </row>
    <row r="1007">
      <c r="A1007" s="204"/>
      <c r="B1007" s="204"/>
      <c r="C1007" s="204"/>
      <c r="D1007" s="204"/>
      <c r="E1007" s="204"/>
      <c r="F1007" s="204"/>
      <c r="G1007" s="204"/>
      <c r="H1007" s="204"/>
      <c r="I1007" s="204"/>
      <c r="J1007" s="204"/>
      <c r="K1007" s="204"/>
      <c r="L1007" s="204"/>
      <c r="M1007" s="204"/>
      <c r="N1007" s="204"/>
      <c r="O1007" s="204"/>
      <c r="P1007" s="204"/>
      <c r="Q1007" s="204"/>
      <c r="R1007" s="204"/>
      <c r="S1007" s="204"/>
      <c r="T1007" s="204"/>
      <c r="U1007" s="204"/>
      <c r="V1007" s="204"/>
      <c r="W1007" s="204"/>
      <c r="X1007" s="204"/>
      <c r="Y1007" s="204"/>
      <c r="Z1007" s="204"/>
      <c r="AA1007" s="204"/>
      <c r="AB1007" s="204"/>
      <c r="AC1007" s="204"/>
      <c r="AD1007" s="204"/>
      <c r="AE1007" s="204"/>
      <c r="AF1007" s="204"/>
      <c r="AG1007" s="204"/>
      <c r="AH1007" s="204"/>
      <c r="AI1007" s="204"/>
    </row>
    <row r="1008">
      <c r="A1008" s="204"/>
      <c r="B1008" s="204"/>
      <c r="C1008" s="204"/>
      <c r="D1008" s="204"/>
      <c r="E1008" s="204"/>
      <c r="F1008" s="204"/>
      <c r="G1008" s="204"/>
      <c r="H1008" s="204"/>
      <c r="I1008" s="204"/>
      <c r="J1008" s="204"/>
      <c r="K1008" s="204"/>
      <c r="L1008" s="204"/>
      <c r="M1008" s="204"/>
      <c r="N1008" s="204"/>
      <c r="O1008" s="204"/>
      <c r="P1008" s="204"/>
      <c r="Q1008" s="204"/>
      <c r="R1008" s="204"/>
      <c r="S1008" s="204"/>
      <c r="T1008" s="204"/>
      <c r="U1008" s="204"/>
      <c r="V1008" s="204"/>
      <c r="W1008" s="204"/>
      <c r="X1008" s="204"/>
      <c r="Y1008" s="204"/>
      <c r="Z1008" s="204"/>
      <c r="AA1008" s="204"/>
      <c r="AB1008" s="204"/>
      <c r="AC1008" s="204"/>
      <c r="AD1008" s="204"/>
      <c r="AE1008" s="204"/>
      <c r="AF1008" s="204"/>
      <c r="AG1008" s="204"/>
      <c r="AH1008" s="204"/>
      <c r="AI1008" s="204"/>
    </row>
    <row r="1009">
      <c r="A1009" s="204"/>
      <c r="B1009" s="204"/>
      <c r="C1009" s="204"/>
      <c r="D1009" s="204"/>
      <c r="E1009" s="204"/>
      <c r="F1009" s="204"/>
      <c r="G1009" s="204"/>
      <c r="H1009" s="204"/>
      <c r="I1009" s="204"/>
      <c r="J1009" s="204"/>
      <c r="K1009" s="204"/>
      <c r="L1009" s="204"/>
      <c r="M1009" s="204"/>
      <c r="N1009" s="204"/>
      <c r="O1009" s="204"/>
      <c r="P1009" s="204"/>
      <c r="Q1009" s="204"/>
      <c r="R1009" s="204"/>
      <c r="S1009" s="204"/>
      <c r="T1009" s="204"/>
      <c r="U1009" s="204"/>
      <c r="V1009" s="204"/>
      <c r="W1009" s="204"/>
      <c r="X1009" s="204"/>
      <c r="Y1009" s="204"/>
      <c r="Z1009" s="204"/>
      <c r="AA1009" s="204"/>
      <c r="AB1009" s="204"/>
      <c r="AC1009" s="204"/>
      <c r="AD1009" s="204"/>
      <c r="AE1009" s="204"/>
      <c r="AF1009" s="204"/>
      <c r="AG1009" s="204"/>
      <c r="AH1009" s="204"/>
      <c r="AI1009" s="204"/>
    </row>
    <row r="1010">
      <c r="A1010" s="204"/>
      <c r="B1010" s="204"/>
      <c r="C1010" s="204"/>
      <c r="D1010" s="204"/>
      <c r="E1010" s="204"/>
      <c r="F1010" s="204"/>
      <c r="G1010" s="204"/>
      <c r="H1010" s="204"/>
      <c r="I1010" s="204"/>
      <c r="J1010" s="204"/>
      <c r="K1010" s="204"/>
      <c r="L1010" s="204"/>
      <c r="M1010" s="204"/>
      <c r="N1010" s="204"/>
      <c r="O1010" s="204"/>
      <c r="P1010" s="204"/>
      <c r="Q1010" s="204"/>
      <c r="R1010" s="204"/>
      <c r="S1010" s="204"/>
      <c r="T1010" s="204"/>
      <c r="U1010" s="204"/>
      <c r="V1010" s="204"/>
      <c r="W1010" s="204"/>
      <c r="X1010" s="204"/>
      <c r="Y1010" s="204"/>
      <c r="Z1010" s="204"/>
      <c r="AA1010" s="204"/>
      <c r="AB1010" s="204"/>
      <c r="AC1010" s="204"/>
      <c r="AD1010" s="204"/>
      <c r="AE1010" s="204"/>
      <c r="AF1010" s="204"/>
      <c r="AG1010" s="204"/>
      <c r="AH1010" s="204"/>
      <c r="AI1010" s="204"/>
    </row>
    <row r="1011">
      <c r="A1011" s="204"/>
      <c r="B1011" s="204"/>
      <c r="C1011" s="204"/>
      <c r="D1011" s="204"/>
      <c r="E1011" s="204"/>
      <c r="F1011" s="204"/>
      <c r="G1011" s="204"/>
      <c r="H1011" s="204"/>
      <c r="I1011" s="204"/>
      <c r="J1011" s="204"/>
      <c r="K1011" s="204"/>
      <c r="L1011" s="204"/>
      <c r="M1011" s="204"/>
      <c r="N1011" s="204"/>
      <c r="O1011" s="204"/>
      <c r="P1011" s="204"/>
      <c r="Q1011" s="204"/>
      <c r="R1011" s="204"/>
      <c r="S1011" s="204"/>
      <c r="T1011" s="204"/>
      <c r="U1011" s="204"/>
      <c r="V1011" s="204"/>
      <c r="W1011" s="204"/>
      <c r="X1011" s="204"/>
      <c r="Y1011" s="204"/>
      <c r="Z1011" s="204"/>
      <c r="AA1011" s="204"/>
      <c r="AB1011" s="204"/>
      <c r="AC1011" s="204"/>
      <c r="AD1011" s="204"/>
      <c r="AE1011" s="204"/>
      <c r="AF1011" s="204"/>
      <c r="AG1011" s="204"/>
      <c r="AH1011" s="204"/>
      <c r="AI1011" s="204"/>
    </row>
    <row r="1012">
      <c r="A1012" s="204"/>
      <c r="B1012" s="204"/>
      <c r="C1012" s="204"/>
      <c r="D1012" s="204"/>
      <c r="E1012" s="204"/>
      <c r="F1012" s="204"/>
      <c r="G1012" s="204"/>
      <c r="H1012" s="204"/>
      <c r="I1012" s="204"/>
      <c r="J1012" s="204"/>
      <c r="K1012" s="204"/>
      <c r="L1012" s="204"/>
      <c r="M1012" s="204"/>
      <c r="N1012" s="204"/>
      <c r="O1012" s="204"/>
      <c r="P1012" s="204"/>
      <c r="Q1012" s="204"/>
      <c r="R1012" s="204"/>
      <c r="S1012" s="204"/>
      <c r="T1012" s="204"/>
      <c r="U1012" s="204"/>
      <c r="V1012" s="204"/>
      <c r="W1012" s="204"/>
      <c r="X1012" s="204"/>
      <c r="Y1012" s="204"/>
      <c r="Z1012" s="204"/>
      <c r="AA1012" s="204"/>
      <c r="AB1012" s="204"/>
      <c r="AC1012" s="204"/>
      <c r="AD1012" s="204"/>
      <c r="AE1012" s="204"/>
      <c r="AF1012" s="204"/>
      <c r="AG1012" s="204"/>
      <c r="AH1012" s="204"/>
      <c r="AI1012" s="204"/>
    </row>
    <row r="1013">
      <c r="A1013" s="204"/>
      <c r="B1013" s="204"/>
      <c r="C1013" s="204"/>
      <c r="D1013" s="204"/>
      <c r="E1013" s="204"/>
      <c r="F1013" s="204"/>
      <c r="G1013" s="204"/>
      <c r="H1013" s="204"/>
      <c r="I1013" s="204"/>
      <c r="J1013" s="204"/>
      <c r="K1013" s="204"/>
      <c r="L1013" s="204"/>
      <c r="M1013" s="204"/>
      <c r="N1013" s="204"/>
      <c r="O1013" s="204"/>
      <c r="P1013" s="204"/>
      <c r="Q1013" s="204"/>
      <c r="R1013" s="204"/>
      <c r="S1013" s="204"/>
      <c r="T1013" s="204"/>
      <c r="U1013" s="204"/>
      <c r="V1013" s="204"/>
      <c r="W1013" s="204"/>
      <c r="X1013" s="204"/>
      <c r="Y1013" s="204"/>
      <c r="Z1013" s="204"/>
      <c r="AA1013" s="204"/>
      <c r="AB1013" s="204"/>
      <c r="AC1013" s="204"/>
      <c r="AD1013" s="204"/>
      <c r="AE1013" s="204"/>
      <c r="AF1013" s="204"/>
      <c r="AG1013" s="204"/>
      <c r="AH1013" s="204"/>
      <c r="AI1013" s="204"/>
    </row>
    <row r="1014">
      <c r="A1014" s="204"/>
      <c r="B1014" s="204"/>
      <c r="C1014" s="204"/>
      <c r="D1014" s="204"/>
      <c r="E1014" s="204"/>
      <c r="F1014" s="204"/>
      <c r="G1014" s="204"/>
      <c r="H1014" s="204"/>
      <c r="I1014" s="204"/>
      <c r="J1014" s="204"/>
      <c r="K1014" s="204"/>
      <c r="L1014" s="204"/>
      <c r="M1014" s="204"/>
      <c r="N1014" s="204"/>
      <c r="O1014" s="204"/>
      <c r="P1014" s="204"/>
      <c r="Q1014" s="204"/>
      <c r="R1014" s="204"/>
      <c r="S1014" s="204"/>
      <c r="T1014" s="204"/>
      <c r="U1014" s="204"/>
      <c r="V1014" s="204"/>
      <c r="W1014" s="204"/>
      <c r="X1014" s="204"/>
      <c r="Y1014" s="204"/>
      <c r="Z1014" s="204"/>
      <c r="AA1014" s="204"/>
      <c r="AB1014" s="204"/>
      <c r="AC1014" s="204"/>
      <c r="AD1014" s="204"/>
      <c r="AE1014" s="204"/>
      <c r="AF1014" s="204"/>
      <c r="AG1014" s="204"/>
      <c r="AH1014" s="204"/>
      <c r="AI1014" s="204"/>
    </row>
    <row r="1015">
      <c r="A1015" s="204"/>
      <c r="B1015" s="204"/>
      <c r="C1015" s="204"/>
      <c r="D1015" s="204"/>
      <c r="E1015" s="204"/>
      <c r="F1015" s="204"/>
      <c r="G1015" s="204"/>
      <c r="H1015" s="204"/>
      <c r="I1015" s="204"/>
      <c r="J1015" s="204"/>
      <c r="K1015" s="204"/>
      <c r="L1015" s="204"/>
      <c r="M1015" s="204"/>
      <c r="N1015" s="204"/>
      <c r="O1015" s="204"/>
      <c r="P1015" s="204"/>
      <c r="Q1015" s="204"/>
      <c r="R1015" s="204"/>
      <c r="S1015" s="204"/>
      <c r="T1015" s="204"/>
      <c r="U1015" s="204"/>
      <c r="V1015" s="204"/>
      <c r="W1015" s="204"/>
      <c r="X1015" s="204"/>
      <c r="Y1015" s="204"/>
      <c r="Z1015" s="204"/>
      <c r="AA1015" s="204"/>
      <c r="AB1015" s="204"/>
      <c r="AC1015" s="204"/>
      <c r="AD1015" s="204"/>
      <c r="AE1015" s="204"/>
      <c r="AF1015" s="204"/>
      <c r="AG1015" s="204"/>
      <c r="AH1015" s="204"/>
      <c r="AI1015" s="204"/>
    </row>
    <row r="1016">
      <c r="A1016" s="204"/>
      <c r="B1016" s="204"/>
      <c r="C1016" s="204"/>
      <c r="D1016" s="204"/>
      <c r="E1016" s="204"/>
      <c r="F1016" s="204"/>
      <c r="G1016" s="204"/>
      <c r="H1016" s="204"/>
      <c r="I1016" s="204"/>
      <c r="J1016" s="204"/>
      <c r="K1016" s="204"/>
      <c r="L1016" s="204"/>
      <c r="M1016" s="204"/>
      <c r="N1016" s="204"/>
      <c r="O1016" s="204"/>
      <c r="P1016" s="204"/>
      <c r="Q1016" s="204"/>
      <c r="R1016" s="204"/>
      <c r="S1016" s="204"/>
      <c r="T1016" s="204"/>
      <c r="U1016" s="204"/>
      <c r="V1016" s="204"/>
      <c r="W1016" s="204"/>
      <c r="X1016" s="204"/>
      <c r="Y1016" s="204"/>
      <c r="Z1016" s="204"/>
      <c r="AA1016" s="204"/>
      <c r="AB1016" s="204"/>
      <c r="AC1016" s="204"/>
      <c r="AD1016" s="204"/>
      <c r="AE1016" s="204"/>
      <c r="AF1016" s="204"/>
      <c r="AG1016" s="204"/>
      <c r="AH1016" s="204"/>
      <c r="AI1016" s="204"/>
    </row>
    <row r="1017">
      <c r="A1017" s="204"/>
      <c r="B1017" s="204"/>
      <c r="C1017" s="204"/>
      <c r="D1017" s="204"/>
      <c r="E1017" s="204"/>
      <c r="F1017" s="204"/>
      <c r="G1017" s="204"/>
      <c r="H1017" s="204"/>
      <c r="I1017" s="204"/>
      <c r="J1017" s="204"/>
      <c r="K1017" s="204"/>
      <c r="L1017" s="204"/>
      <c r="M1017" s="204"/>
      <c r="N1017" s="204"/>
      <c r="O1017" s="204"/>
      <c r="P1017" s="204"/>
      <c r="Q1017" s="204"/>
      <c r="R1017" s="204"/>
      <c r="S1017" s="204"/>
      <c r="T1017" s="204"/>
      <c r="U1017" s="204"/>
      <c r="V1017" s="204"/>
      <c r="W1017" s="204"/>
      <c r="X1017" s="204"/>
      <c r="Y1017" s="204"/>
      <c r="Z1017" s="204"/>
      <c r="AA1017" s="204"/>
      <c r="AB1017" s="204"/>
      <c r="AC1017" s="204"/>
      <c r="AD1017" s="204"/>
      <c r="AE1017" s="204"/>
      <c r="AF1017" s="204"/>
      <c r="AG1017" s="204"/>
      <c r="AH1017" s="204"/>
      <c r="AI1017" s="204"/>
    </row>
    <row r="1018">
      <c r="A1018" s="204"/>
      <c r="B1018" s="204"/>
      <c r="C1018" s="204"/>
      <c r="D1018" s="204"/>
      <c r="E1018" s="204"/>
      <c r="F1018" s="204"/>
      <c r="G1018" s="204"/>
      <c r="H1018" s="204"/>
      <c r="I1018" s="204"/>
      <c r="J1018" s="204"/>
      <c r="K1018" s="204"/>
      <c r="L1018" s="204"/>
      <c r="M1018" s="204"/>
      <c r="N1018" s="204"/>
      <c r="O1018" s="204"/>
      <c r="P1018" s="204"/>
      <c r="Q1018" s="204"/>
      <c r="R1018" s="204"/>
      <c r="S1018" s="204"/>
      <c r="T1018" s="204"/>
      <c r="U1018" s="204"/>
      <c r="V1018" s="204"/>
      <c r="W1018" s="204"/>
      <c r="X1018" s="204"/>
      <c r="Y1018" s="204"/>
      <c r="Z1018" s="204"/>
      <c r="AA1018" s="204"/>
      <c r="AB1018" s="204"/>
      <c r="AC1018" s="204"/>
      <c r="AD1018" s="204"/>
      <c r="AE1018" s="204"/>
      <c r="AF1018" s="204"/>
      <c r="AG1018" s="204"/>
      <c r="AH1018" s="204"/>
      <c r="AI1018" s="204"/>
    </row>
    <row r="1019">
      <c r="A1019" s="204"/>
      <c r="B1019" s="204"/>
      <c r="C1019" s="204"/>
      <c r="D1019" s="204"/>
      <c r="E1019" s="204"/>
      <c r="F1019" s="204"/>
      <c r="G1019" s="204"/>
      <c r="H1019" s="204"/>
      <c r="I1019" s="204"/>
      <c r="J1019" s="204"/>
      <c r="K1019" s="204"/>
      <c r="L1019" s="204"/>
      <c r="M1019" s="204"/>
      <c r="N1019" s="204"/>
      <c r="O1019" s="204"/>
      <c r="P1019" s="204"/>
      <c r="Q1019" s="204"/>
      <c r="R1019" s="204"/>
      <c r="S1019" s="204"/>
      <c r="T1019" s="204"/>
      <c r="U1019" s="204"/>
      <c r="V1019" s="204"/>
      <c r="W1019" s="204"/>
      <c r="X1019" s="204"/>
      <c r="Y1019" s="204"/>
      <c r="Z1019" s="204"/>
      <c r="AA1019" s="204"/>
      <c r="AB1019" s="204"/>
      <c r="AC1019" s="204"/>
      <c r="AD1019" s="204"/>
      <c r="AE1019" s="204"/>
      <c r="AF1019" s="204"/>
      <c r="AG1019" s="204"/>
      <c r="AH1019" s="204"/>
      <c r="AI1019" s="204"/>
    </row>
    <row r="1020">
      <c r="A1020" s="204"/>
      <c r="B1020" s="204"/>
      <c r="C1020" s="204"/>
      <c r="D1020" s="204"/>
      <c r="E1020" s="204"/>
      <c r="F1020" s="204"/>
      <c r="G1020" s="204"/>
      <c r="H1020" s="204"/>
      <c r="I1020" s="204"/>
      <c r="J1020" s="204"/>
      <c r="K1020" s="204"/>
      <c r="L1020" s="204"/>
      <c r="M1020" s="204"/>
      <c r="N1020" s="204"/>
      <c r="O1020" s="204"/>
      <c r="P1020" s="204"/>
      <c r="Q1020" s="204"/>
      <c r="R1020" s="204"/>
      <c r="S1020" s="204"/>
      <c r="T1020" s="204"/>
      <c r="U1020" s="204"/>
      <c r="V1020" s="204"/>
      <c r="W1020" s="204"/>
      <c r="X1020" s="204"/>
      <c r="Y1020" s="204"/>
      <c r="Z1020" s="204"/>
      <c r="AA1020" s="204"/>
      <c r="AB1020" s="204"/>
      <c r="AC1020" s="204"/>
      <c r="AD1020" s="204"/>
      <c r="AE1020" s="204"/>
      <c r="AF1020" s="204"/>
      <c r="AG1020" s="204"/>
      <c r="AH1020" s="204"/>
      <c r="AI1020" s="204"/>
    </row>
    <row r="1021">
      <c r="A1021" s="204"/>
      <c r="B1021" s="204"/>
      <c r="C1021" s="204"/>
      <c r="D1021" s="204"/>
      <c r="E1021" s="204"/>
      <c r="F1021" s="204"/>
      <c r="G1021" s="204"/>
      <c r="H1021" s="204"/>
      <c r="I1021" s="204"/>
      <c r="J1021" s="204"/>
      <c r="K1021" s="204"/>
      <c r="L1021" s="204"/>
      <c r="M1021" s="204"/>
      <c r="N1021" s="204"/>
      <c r="O1021" s="204"/>
      <c r="P1021" s="204"/>
      <c r="Q1021" s="204"/>
      <c r="R1021" s="204"/>
      <c r="S1021" s="204"/>
      <c r="T1021" s="204"/>
      <c r="U1021" s="204"/>
      <c r="V1021" s="204"/>
      <c r="W1021" s="204"/>
      <c r="X1021" s="204"/>
      <c r="Y1021" s="204"/>
      <c r="Z1021" s="204"/>
      <c r="AA1021" s="204"/>
      <c r="AB1021" s="204"/>
      <c r="AC1021" s="204"/>
      <c r="AD1021" s="204"/>
      <c r="AE1021" s="204"/>
      <c r="AF1021" s="204"/>
      <c r="AG1021" s="204"/>
      <c r="AH1021" s="204"/>
      <c r="AI1021" s="204"/>
    </row>
    <row r="1022">
      <c r="A1022" s="204"/>
      <c r="B1022" s="204"/>
      <c r="C1022" s="204"/>
      <c r="D1022" s="204"/>
      <c r="E1022" s="204"/>
      <c r="F1022" s="204"/>
      <c r="G1022" s="204"/>
      <c r="H1022" s="204"/>
      <c r="I1022" s="204"/>
      <c r="J1022" s="204"/>
      <c r="K1022" s="204"/>
      <c r="L1022" s="204"/>
      <c r="M1022" s="204"/>
      <c r="N1022" s="204"/>
      <c r="O1022" s="204"/>
      <c r="P1022" s="204"/>
      <c r="Q1022" s="204"/>
      <c r="R1022" s="204"/>
      <c r="S1022" s="204"/>
      <c r="T1022" s="204"/>
      <c r="U1022" s="204"/>
      <c r="V1022" s="204"/>
      <c r="W1022" s="204"/>
      <c r="X1022" s="204"/>
      <c r="Y1022" s="204"/>
      <c r="Z1022" s="204"/>
      <c r="AA1022" s="204"/>
      <c r="AB1022" s="204"/>
      <c r="AC1022" s="204"/>
      <c r="AD1022" s="204"/>
      <c r="AE1022" s="204"/>
      <c r="AF1022" s="204"/>
      <c r="AG1022" s="204"/>
      <c r="AH1022" s="204"/>
      <c r="AI1022" s="204"/>
    </row>
    <row r="1023">
      <c r="A1023" s="204"/>
      <c r="B1023" s="204"/>
      <c r="C1023" s="204"/>
      <c r="D1023" s="204"/>
      <c r="E1023" s="204"/>
      <c r="F1023" s="204"/>
      <c r="G1023" s="204"/>
      <c r="H1023" s="204"/>
      <c r="I1023" s="204"/>
      <c r="J1023" s="204"/>
      <c r="K1023" s="204"/>
      <c r="L1023" s="204"/>
      <c r="M1023" s="204"/>
      <c r="N1023" s="204"/>
      <c r="O1023" s="204"/>
      <c r="P1023" s="204"/>
      <c r="Q1023" s="204"/>
      <c r="R1023" s="204"/>
      <c r="S1023" s="204"/>
      <c r="T1023" s="204"/>
      <c r="U1023" s="204"/>
      <c r="V1023" s="204"/>
      <c r="W1023" s="204"/>
      <c r="X1023" s="204"/>
      <c r="Y1023" s="204"/>
      <c r="Z1023" s="204"/>
      <c r="AA1023" s="204"/>
      <c r="AB1023" s="204"/>
      <c r="AC1023" s="204"/>
      <c r="AD1023" s="204"/>
      <c r="AE1023" s="204"/>
      <c r="AF1023" s="204"/>
      <c r="AG1023" s="204"/>
      <c r="AH1023" s="204"/>
      <c r="AI1023" s="204"/>
    </row>
    <row r="1024">
      <c r="A1024" s="204"/>
      <c r="B1024" s="204"/>
      <c r="C1024" s="204"/>
      <c r="D1024" s="204"/>
      <c r="E1024" s="204"/>
      <c r="F1024" s="204"/>
      <c r="G1024" s="204"/>
      <c r="H1024" s="204"/>
      <c r="I1024" s="204"/>
      <c r="J1024" s="204"/>
      <c r="K1024" s="204"/>
      <c r="L1024" s="204"/>
      <c r="M1024" s="204"/>
      <c r="N1024" s="204"/>
      <c r="O1024" s="204"/>
      <c r="P1024" s="204"/>
      <c r="Q1024" s="204"/>
      <c r="R1024" s="204"/>
      <c r="S1024" s="204"/>
      <c r="T1024" s="204"/>
      <c r="U1024" s="204"/>
      <c r="V1024" s="204"/>
      <c r="W1024" s="204"/>
      <c r="X1024" s="204"/>
      <c r="Y1024" s="204"/>
      <c r="Z1024" s="204"/>
      <c r="AA1024" s="204"/>
      <c r="AB1024" s="204"/>
      <c r="AC1024" s="204"/>
      <c r="AD1024" s="204"/>
      <c r="AE1024" s="204"/>
      <c r="AF1024" s="204"/>
      <c r="AG1024" s="204"/>
      <c r="AH1024" s="204"/>
      <c r="AI1024" s="204"/>
    </row>
    <row r="1025">
      <c r="A1025" s="204"/>
      <c r="B1025" s="204"/>
      <c r="C1025" s="204"/>
      <c r="D1025" s="204"/>
      <c r="E1025" s="204"/>
      <c r="F1025" s="204"/>
      <c r="G1025" s="204"/>
      <c r="H1025" s="204"/>
      <c r="I1025" s="204"/>
      <c r="J1025" s="204"/>
      <c r="K1025" s="204"/>
      <c r="L1025" s="204"/>
      <c r="M1025" s="204"/>
      <c r="N1025" s="204"/>
      <c r="O1025" s="204"/>
      <c r="P1025" s="204"/>
      <c r="Q1025" s="204"/>
      <c r="R1025" s="204"/>
      <c r="S1025" s="204"/>
      <c r="T1025" s="204"/>
      <c r="U1025" s="204"/>
      <c r="V1025" s="204"/>
      <c r="W1025" s="204"/>
      <c r="X1025" s="204"/>
      <c r="Y1025" s="204"/>
      <c r="Z1025" s="204"/>
      <c r="AA1025" s="204"/>
      <c r="AB1025" s="204"/>
      <c r="AC1025" s="204"/>
      <c r="AD1025" s="204"/>
      <c r="AE1025" s="204"/>
      <c r="AF1025" s="204"/>
      <c r="AG1025" s="204"/>
      <c r="AH1025" s="204"/>
      <c r="AI1025" s="204"/>
    </row>
    <row r="1026">
      <c r="A1026" s="204"/>
      <c r="B1026" s="204"/>
      <c r="C1026" s="204"/>
      <c r="D1026" s="204"/>
      <c r="E1026" s="204"/>
      <c r="F1026" s="204"/>
      <c r="G1026" s="204"/>
      <c r="H1026" s="204"/>
      <c r="I1026" s="204"/>
      <c r="J1026" s="204"/>
      <c r="K1026" s="204"/>
      <c r="L1026" s="204"/>
      <c r="M1026" s="204"/>
      <c r="N1026" s="204"/>
      <c r="O1026" s="204"/>
      <c r="P1026" s="204"/>
      <c r="Q1026" s="204"/>
      <c r="R1026" s="204"/>
      <c r="S1026" s="204"/>
      <c r="T1026" s="204"/>
      <c r="U1026" s="204"/>
      <c r="V1026" s="204"/>
      <c r="W1026" s="204"/>
      <c r="X1026" s="204"/>
      <c r="Y1026" s="204"/>
      <c r="Z1026" s="204"/>
      <c r="AA1026" s="204"/>
      <c r="AB1026" s="204"/>
      <c r="AC1026" s="204"/>
      <c r="AD1026" s="204"/>
      <c r="AE1026" s="204"/>
      <c r="AF1026" s="204"/>
      <c r="AG1026" s="204"/>
      <c r="AH1026" s="204"/>
      <c r="AI1026" s="204"/>
    </row>
    <row r="1027">
      <c r="A1027" s="204"/>
      <c r="B1027" s="204"/>
      <c r="C1027" s="204"/>
      <c r="D1027" s="204"/>
      <c r="E1027" s="204"/>
      <c r="F1027" s="204"/>
      <c r="G1027" s="204"/>
      <c r="H1027" s="204"/>
      <c r="I1027" s="204"/>
      <c r="J1027" s="204"/>
      <c r="K1027" s="204"/>
      <c r="L1027" s="204"/>
      <c r="M1027" s="204"/>
      <c r="N1027" s="204"/>
      <c r="O1027" s="204"/>
      <c r="P1027" s="204"/>
      <c r="Q1027" s="204"/>
      <c r="R1027" s="204"/>
      <c r="S1027" s="204"/>
      <c r="T1027" s="204"/>
      <c r="U1027" s="204"/>
      <c r="V1027" s="204"/>
      <c r="W1027" s="204"/>
      <c r="X1027" s="204"/>
      <c r="Y1027" s="204"/>
      <c r="Z1027" s="204"/>
      <c r="AA1027" s="204"/>
      <c r="AB1027" s="204"/>
      <c r="AC1027" s="204"/>
      <c r="AD1027" s="204"/>
      <c r="AE1027" s="204"/>
      <c r="AF1027" s="204"/>
      <c r="AG1027" s="204"/>
      <c r="AH1027" s="204"/>
      <c r="AI1027" s="204"/>
    </row>
    <row r="1028">
      <c r="A1028" s="204"/>
      <c r="B1028" s="204"/>
      <c r="C1028" s="204"/>
      <c r="D1028" s="204"/>
      <c r="E1028" s="204"/>
      <c r="F1028" s="204"/>
      <c r="G1028" s="204"/>
      <c r="H1028" s="204"/>
      <c r="I1028" s="204"/>
      <c r="J1028" s="204"/>
      <c r="K1028" s="204"/>
      <c r="L1028" s="204"/>
      <c r="M1028" s="204"/>
      <c r="N1028" s="204"/>
      <c r="O1028" s="204"/>
      <c r="P1028" s="204"/>
      <c r="Q1028" s="204"/>
      <c r="R1028" s="204"/>
      <c r="S1028" s="204"/>
      <c r="T1028" s="204"/>
      <c r="U1028" s="204"/>
      <c r="V1028" s="204"/>
      <c r="W1028" s="204"/>
      <c r="X1028" s="204"/>
      <c r="Y1028" s="204"/>
      <c r="Z1028" s="204"/>
      <c r="AA1028" s="204"/>
      <c r="AB1028" s="204"/>
      <c r="AC1028" s="204"/>
      <c r="AD1028" s="204"/>
      <c r="AE1028" s="204"/>
      <c r="AF1028" s="204"/>
      <c r="AG1028" s="204"/>
      <c r="AH1028" s="204"/>
      <c r="AI1028" s="204"/>
    </row>
    <row r="1029">
      <c r="A1029" s="204"/>
      <c r="B1029" s="204"/>
      <c r="C1029" s="204"/>
      <c r="D1029" s="204"/>
      <c r="E1029" s="204"/>
      <c r="F1029" s="204"/>
      <c r="G1029" s="204"/>
      <c r="H1029" s="204"/>
      <c r="I1029" s="204"/>
      <c r="J1029" s="204"/>
      <c r="K1029" s="204"/>
      <c r="L1029" s="204"/>
      <c r="M1029" s="204"/>
      <c r="N1029" s="204"/>
      <c r="O1029" s="204"/>
      <c r="P1029" s="204"/>
      <c r="Q1029" s="204"/>
      <c r="R1029" s="204"/>
      <c r="S1029" s="204"/>
      <c r="T1029" s="204"/>
      <c r="U1029" s="204"/>
      <c r="V1029" s="204"/>
      <c r="W1029" s="204"/>
      <c r="X1029" s="204"/>
      <c r="Y1029" s="204"/>
      <c r="Z1029" s="204"/>
      <c r="AA1029" s="204"/>
      <c r="AB1029" s="204"/>
      <c r="AC1029" s="204"/>
      <c r="AD1029" s="204"/>
      <c r="AE1029" s="204"/>
      <c r="AF1029" s="204"/>
      <c r="AG1029" s="204"/>
      <c r="AH1029" s="204"/>
      <c r="AI1029" s="204"/>
    </row>
    <row r="1030">
      <c r="A1030" s="204"/>
      <c r="B1030" s="204"/>
      <c r="C1030" s="204"/>
      <c r="D1030" s="204"/>
      <c r="E1030" s="204"/>
      <c r="F1030" s="204"/>
      <c r="G1030" s="204"/>
      <c r="H1030" s="204"/>
      <c r="I1030" s="204"/>
      <c r="J1030" s="204"/>
      <c r="K1030" s="204"/>
      <c r="L1030" s="204"/>
      <c r="M1030" s="204"/>
      <c r="N1030" s="204"/>
      <c r="O1030" s="204"/>
      <c r="P1030" s="204"/>
      <c r="Q1030" s="204"/>
      <c r="R1030" s="204"/>
      <c r="S1030" s="204"/>
      <c r="T1030" s="204"/>
      <c r="U1030" s="204"/>
      <c r="V1030" s="204"/>
      <c r="W1030" s="204"/>
      <c r="X1030" s="204"/>
      <c r="Y1030" s="204"/>
      <c r="Z1030" s="204"/>
      <c r="AA1030" s="204"/>
      <c r="AB1030" s="204"/>
      <c r="AC1030" s="204"/>
      <c r="AD1030" s="204"/>
      <c r="AE1030" s="204"/>
      <c r="AF1030" s="204"/>
      <c r="AG1030" s="204"/>
      <c r="AH1030" s="204"/>
      <c r="AI1030" s="204"/>
    </row>
    <row r="1031">
      <c r="A1031" s="204"/>
      <c r="B1031" s="204"/>
      <c r="C1031" s="204"/>
      <c r="D1031" s="204"/>
      <c r="E1031" s="204"/>
      <c r="F1031" s="204"/>
      <c r="G1031" s="204"/>
      <c r="H1031" s="204"/>
      <c r="I1031" s="204"/>
      <c r="J1031" s="204"/>
      <c r="K1031" s="204"/>
      <c r="L1031" s="204"/>
      <c r="M1031" s="204"/>
      <c r="N1031" s="204"/>
      <c r="O1031" s="204"/>
      <c r="P1031" s="204"/>
      <c r="Q1031" s="204"/>
      <c r="R1031" s="204"/>
      <c r="S1031" s="204"/>
      <c r="T1031" s="204"/>
      <c r="U1031" s="204"/>
      <c r="V1031" s="204"/>
      <c r="W1031" s="204"/>
      <c r="X1031" s="204"/>
      <c r="Y1031" s="204"/>
      <c r="Z1031" s="204"/>
      <c r="AA1031" s="204"/>
      <c r="AB1031" s="204"/>
      <c r="AC1031" s="204"/>
      <c r="AD1031" s="204"/>
      <c r="AE1031" s="204"/>
      <c r="AF1031" s="204"/>
      <c r="AG1031" s="204"/>
      <c r="AH1031" s="204"/>
      <c r="AI1031" s="204"/>
    </row>
    <row r="1032">
      <c r="A1032" s="204"/>
      <c r="B1032" s="204"/>
      <c r="C1032" s="204"/>
      <c r="D1032" s="204"/>
      <c r="E1032" s="204"/>
      <c r="F1032" s="204"/>
      <c r="G1032" s="204"/>
      <c r="H1032" s="204"/>
      <c r="I1032" s="204"/>
      <c r="J1032" s="204"/>
      <c r="K1032" s="204"/>
      <c r="L1032" s="204"/>
      <c r="M1032" s="204"/>
      <c r="N1032" s="204"/>
      <c r="O1032" s="204"/>
      <c r="P1032" s="204"/>
      <c r="Q1032" s="204"/>
      <c r="R1032" s="204"/>
      <c r="S1032" s="204"/>
      <c r="T1032" s="204"/>
      <c r="U1032" s="204"/>
      <c r="V1032" s="204"/>
      <c r="W1032" s="204"/>
      <c r="X1032" s="204"/>
      <c r="Y1032" s="204"/>
      <c r="Z1032" s="204"/>
      <c r="AA1032" s="204"/>
      <c r="AB1032" s="204"/>
      <c r="AC1032" s="204"/>
      <c r="AD1032" s="204"/>
      <c r="AE1032" s="204"/>
      <c r="AF1032" s="204"/>
      <c r="AG1032" s="204"/>
      <c r="AH1032" s="204"/>
      <c r="AI1032" s="204"/>
    </row>
    <row r="1033">
      <c r="A1033" s="204"/>
      <c r="B1033" s="204"/>
      <c r="C1033" s="204"/>
      <c r="D1033" s="204"/>
      <c r="E1033" s="204"/>
      <c r="F1033" s="204"/>
      <c r="G1033" s="204"/>
      <c r="H1033" s="204"/>
      <c r="I1033" s="204"/>
      <c r="J1033" s="204"/>
      <c r="K1033" s="204"/>
      <c r="L1033" s="204"/>
      <c r="M1033" s="204"/>
      <c r="N1033" s="204"/>
      <c r="O1033" s="204"/>
      <c r="P1033" s="204"/>
      <c r="Q1033" s="204"/>
      <c r="R1033" s="204"/>
      <c r="S1033" s="204"/>
      <c r="T1033" s="204"/>
      <c r="U1033" s="204"/>
      <c r="V1033" s="204"/>
      <c r="W1033" s="204"/>
      <c r="X1033" s="204"/>
      <c r="Y1033" s="204"/>
      <c r="Z1033" s="204"/>
      <c r="AA1033" s="204"/>
      <c r="AB1033" s="204"/>
      <c r="AC1033" s="204"/>
      <c r="AD1033" s="204"/>
      <c r="AE1033" s="204"/>
      <c r="AF1033" s="204"/>
      <c r="AG1033" s="204"/>
      <c r="AH1033" s="204"/>
      <c r="AI1033" s="204"/>
    </row>
    <row r="1034">
      <c r="A1034" s="204"/>
      <c r="B1034" s="204"/>
      <c r="C1034" s="204"/>
      <c r="D1034" s="204"/>
      <c r="E1034" s="204"/>
      <c r="F1034" s="204"/>
      <c r="G1034" s="204"/>
      <c r="H1034" s="204"/>
      <c r="I1034" s="204"/>
      <c r="J1034" s="204"/>
      <c r="K1034" s="204"/>
      <c r="L1034" s="204"/>
      <c r="M1034" s="204"/>
      <c r="N1034" s="204"/>
      <c r="O1034" s="204"/>
      <c r="P1034" s="204"/>
      <c r="Q1034" s="204"/>
      <c r="R1034" s="204"/>
      <c r="S1034" s="204"/>
      <c r="T1034" s="204"/>
      <c r="U1034" s="204"/>
      <c r="V1034" s="204"/>
      <c r="W1034" s="204"/>
      <c r="X1034" s="204"/>
      <c r="Y1034" s="204"/>
      <c r="Z1034" s="204"/>
      <c r="AA1034" s="204"/>
      <c r="AB1034" s="204"/>
      <c r="AC1034" s="204"/>
      <c r="AD1034" s="204"/>
      <c r="AE1034" s="204"/>
      <c r="AF1034" s="204"/>
      <c r="AG1034" s="204"/>
      <c r="AH1034" s="204"/>
      <c r="AI1034" s="204"/>
    </row>
    <row r="1035">
      <c r="A1035" s="204"/>
      <c r="B1035" s="204"/>
      <c r="C1035" s="204"/>
      <c r="D1035" s="204"/>
      <c r="E1035" s="204"/>
      <c r="F1035" s="204"/>
      <c r="G1035" s="204"/>
      <c r="H1035" s="204"/>
      <c r="I1035" s="204"/>
      <c r="J1035" s="204"/>
      <c r="K1035" s="204"/>
      <c r="L1035" s="204"/>
      <c r="M1035" s="204"/>
      <c r="N1035" s="204"/>
      <c r="O1035" s="204"/>
      <c r="P1035" s="204"/>
      <c r="Q1035" s="204"/>
      <c r="R1035" s="204"/>
      <c r="S1035" s="204"/>
      <c r="T1035" s="204"/>
      <c r="U1035" s="204"/>
      <c r="V1035" s="204"/>
      <c r="W1035" s="204"/>
      <c r="X1035" s="204"/>
      <c r="Y1035" s="204"/>
      <c r="Z1035" s="204"/>
      <c r="AA1035" s="204"/>
      <c r="AB1035" s="204"/>
      <c r="AC1035" s="204"/>
      <c r="AD1035" s="204"/>
      <c r="AE1035" s="204"/>
      <c r="AF1035" s="204"/>
      <c r="AG1035" s="204"/>
      <c r="AH1035" s="204"/>
      <c r="AI1035" s="204"/>
    </row>
    <row r="1036">
      <c r="A1036" s="204"/>
      <c r="B1036" s="204"/>
      <c r="C1036" s="204"/>
      <c r="D1036" s="204"/>
      <c r="E1036" s="204"/>
      <c r="F1036" s="204"/>
      <c r="G1036" s="204"/>
      <c r="H1036" s="204"/>
      <c r="I1036" s="204"/>
      <c r="J1036" s="204"/>
      <c r="K1036" s="204"/>
      <c r="L1036" s="204"/>
      <c r="M1036" s="204"/>
      <c r="N1036" s="204"/>
      <c r="O1036" s="204"/>
      <c r="P1036" s="204"/>
      <c r="Q1036" s="204"/>
      <c r="R1036" s="204"/>
      <c r="S1036" s="204"/>
      <c r="T1036" s="204"/>
      <c r="U1036" s="204"/>
      <c r="V1036" s="204"/>
      <c r="W1036" s="204"/>
      <c r="X1036" s="204"/>
      <c r="Y1036" s="204"/>
      <c r="Z1036" s="204"/>
      <c r="AA1036" s="204"/>
      <c r="AB1036" s="204"/>
      <c r="AC1036" s="204"/>
      <c r="AD1036" s="204"/>
      <c r="AE1036" s="204"/>
      <c r="AF1036" s="204"/>
      <c r="AG1036" s="204"/>
      <c r="AH1036" s="204"/>
      <c r="AI1036" s="204"/>
    </row>
    <row r="1037">
      <c r="A1037" s="204"/>
      <c r="B1037" s="204"/>
      <c r="C1037" s="204"/>
      <c r="D1037" s="204"/>
      <c r="E1037" s="204"/>
      <c r="F1037" s="204"/>
      <c r="G1037" s="204"/>
      <c r="H1037" s="204"/>
      <c r="I1037" s="204"/>
      <c r="J1037" s="204"/>
      <c r="K1037" s="204"/>
      <c r="L1037" s="204"/>
      <c r="M1037" s="204"/>
      <c r="N1037" s="204"/>
      <c r="O1037" s="204"/>
      <c r="P1037" s="204"/>
      <c r="Q1037" s="204"/>
      <c r="R1037" s="204"/>
      <c r="S1037" s="204"/>
      <c r="T1037" s="204"/>
      <c r="U1037" s="204"/>
      <c r="V1037" s="204"/>
      <c r="W1037" s="204"/>
      <c r="X1037" s="204"/>
      <c r="Y1037" s="204"/>
      <c r="Z1037" s="204"/>
      <c r="AA1037" s="204"/>
      <c r="AB1037" s="204"/>
      <c r="AC1037" s="204"/>
      <c r="AD1037" s="204"/>
      <c r="AE1037" s="204"/>
      <c r="AF1037" s="204"/>
      <c r="AG1037" s="204"/>
      <c r="AH1037" s="204"/>
      <c r="AI1037" s="204"/>
    </row>
    <row r="1038">
      <c r="A1038" s="204"/>
      <c r="B1038" s="204"/>
      <c r="C1038" s="204"/>
      <c r="D1038" s="204"/>
      <c r="E1038" s="204"/>
      <c r="F1038" s="204"/>
      <c r="G1038" s="204"/>
      <c r="H1038" s="204"/>
      <c r="I1038" s="204"/>
      <c r="J1038" s="204"/>
      <c r="K1038" s="204"/>
      <c r="L1038" s="204"/>
      <c r="M1038" s="204"/>
      <c r="N1038" s="204"/>
      <c r="O1038" s="204"/>
      <c r="P1038" s="204"/>
      <c r="Q1038" s="204"/>
      <c r="R1038" s="204"/>
      <c r="S1038" s="204"/>
      <c r="T1038" s="204"/>
      <c r="U1038" s="204"/>
      <c r="V1038" s="204"/>
      <c r="W1038" s="204"/>
      <c r="X1038" s="204"/>
      <c r="Y1038" s="204"/>
      <c r="Z1038" s="204"/>
      <c r="AA1038" s="204"/>
      <c r="AB1038" s="204"/>
      <c r="AC1038" s="204"/>
      <c r="AD1038" s="204"/>
      <c r="AE1038" s="204"/>
      <c r="AF1038" s="204"/>
      <c r="AG1038" s="204"/>
      <c r="AH1038" s="204"/>
      <c r="AI1038" s="204"/>
    </row>
    <row r="1039">
      <c r="A1039" s="204"/>
      <c r="B1039" s="204"/>
      <c r="C1039" s="204"/>
      <c r="D1039" s="204"/>
      <c r="E1039" s="204"/>
      <c r="F1039" s="204"/>
      <c r="G1039" s="204"/>
      <c r="H1039" s="204"/>
      <c r="I1039" s="204"/>
      <c r="J1039" s="204"/>
      <c r="K1039" s="204"/>
      <c r="L1039" s="204"/>
      <c r="M1039" s="204"/>
      <c r="N1039" s="204"/>
      <c r="O1039" s="204"/>
      <c r="P1039" s="204"/>
      <c r="Q1039" s="204"/>
      <c r="R1039" s="204"/>
      <c r="S1039" s="204"/>
      <c r="T1039" s="204"/>
      <c r="U1039" s="204"/>
      <c r="V1039" s="204"/>
      <c r="W1039" s="204"/>
      <c r="X1039" s="204"/>
      <c r="Y1039" s="204"/>
      <c r="Z1039" s="204"/>
      <c r="AA1039" s="204"/>
      <c r="AB1039" s="204"/>
      <c r="AC1039" s="204"/>
      <c r="AD1039" s="204"/>
      <c r="AE1039" s="204"/>
      <c r="AF1039" s="204"/>
      <c r="AG1039" s="204"/>
      <c r="AH1039" s="204"/>
      <c r="AI1039" s="204"/>
    </row>
    <row r="1040">
      <c r="A1040" s="204"/>
      <c r="B1040" s="204"/>
      <c r="C1040" s="204"/>
      <c r="D1040" s="204"/>
      <c r="E1040" s="204"/>
      <c r="F1040" s="204"/>
      <c r="G1040" s="204"/>
      <c r="H1040" s="204"/>
      <c r="I1040" s="204"/>
      <c r="J1040" s="204"/>
      <c r="K1040" s="204"/>
      <c r="L1040" s="204"/>
      <c r="M1040" s="204"/>
      <c r="N1040" s="204"/>
      <c r="O1040" s="204"/>
      <c r="P1040" s="204"/>
      <c r="Q1040" s="204"/>
      <c r="R1040" s="204"/>
      <c r="S1040" s="204"/>
      <c r="T1040" s="204"/>
      <c r="U1040" s="204"/>
      <c r="V1040" s="204"/>
      <c r="W1040" s="204"/>
      <c r="X1040" s="204"/>
      <c r="Y1040" s="204"/>
      <c r="Z1040" s="204"/>
      <c r="AA1040" s="204"/>
      <c r="AB1040" s="204"/>
      <c r="AC1040" s="204"/>
      <c r="AD1040" s="204"/>
      <c r="AE1040" s="204"/>
      <c r="AF1040" s="204"/>
      <c r="AG1040" s="204"/>
      <c r="AH1040" s="204"/>
      <c r="AI1040" s="204"/>
    </row>
    <row r="1041">
      <c r="A1041" s="204"/>
      <c r="B1041" s="204"/>
      <c r="C1041" s="204"/>
      <c r="D1041" s="204"/>
      <c r="E1041" s="204"/>
      <c r="F1041" s="204"/>
      <c r="G1041" s="204"/>
      <c r="H1041" s="204"/>
      <c r="I1041" s="204"/>
      <c r="J1041" s="204"/>
      <c r="K1041" s="204"/>
      <c r="L1041" s="204"/>
      <c r="M1041" s="204"/>
      <c r="N1041" s="204"/>
      <c r="O1041" s="204"/>
      <c r="P1041" s="204"/>
      <c r="Q1041" s="204"/>
      <c r="R1041" s="204"/>
      <c r="S1041" s="204"/>
      <c r="T1041" s="204"/>
      <c r="U1041" s="204"/>
      <c r="V1041" s="204"/>
      <c r="W1041" s="204"/>
      <c r="X1041" s="204"/>
      <c r="Y1041" s="204"/>
      <c r="Z1041" s="204"/>
      <c r="AA1041" s="204"/>
      <c r="AB1041" s="204"/>
      <c r="AC1041" s="204"/>
      <c r="AD1041" s="204"/>
      <c r="AE1041" s="204"/>
      <c r="AF1041" s="204"/>
      <c r="AG1041" s="204"/>
      <c r="AH1041" s="204"/>
      <c r="AI1041" s="204"/>
    </row>
    <row r="1042">
      <c r="A1042" s="204"/>
      <c r="B1042" s="204"/>
      <c r="C1042" s="204"/>
      <c r="D1042" s="204"/>
      <c r="E1042" s="204"/>
      <c r="F1042" s="204"/>
      <c r="G1042" s="204"/>
      <c r="H1042" s="204"/>
      <c r="I1042" s="204"/>
      <c r="J1042" s="204"/>
      <c r="K1042" s="204"/>
      <c r="L1042" s="204"/>
      <c r="M1042" s="204"/>
      <c r="N1042" s="204"/>
      <c r="O1042" s="204"/>
      <c r="P1042" s="204"/>
      <c r="Q1042" s="204"/>
      <c r="R1042" s="204"/>
      <c r="S1042" s="204"/>
      <c r="T1042" s="204"/>
      <c r="U1042" s="204"/>
      <c r="V1042" s="204"/>
      <c r="W1042" s="204"/>
      <c r="X1042" s="204"/>
      <c r="Y1042" s="204"/>
      <c r="Z1042" s="204"/>
      <c r="AA1042" s="204"/>
      <c r="AB1042" s="204"/>
      <c r="AC1042" s="204"/>
      <c r="AD1042" s="204"/>
      <c r="AE1042" s="204"/>
      <c r="AF1042" s="204"/>
      <c r="AG1042" s="204"/>
      <c r="AH1042" s="204"/>
      <c r="AI1042" s="204"/>
    </row>
    <row r="1043">
      <c r="A1043" s="204"/>
      <c r="B1043" s="204"/>
      <c r="C1043" s="204"/>
      <c r="D1043" s="204"/>
      <c r="E1043" s="204"/>
      <c r="F1043" s="204"/>
      <c r="G1043" s="204"/>
      <c r="H1043" s="204"/>
      <c r="I1043" s="204"/>
      <c r="J1043" s="204"/>
      <c r="K1043" s="204"/>
      <c r="L1043" s="204"/>
      <c r="M1043" s="204"/>
      <c r="N1043" s="204"/>
      <c r="O1043" s="204"/>
      <c r="P1043" s="204"/>
      <c r="Q1043" s="204"/>
      <c r="R1043" s="204"/>
      <c r="S1043" s="204"/>
      <c r="T1043" s="204"/>
      <c r="U1043" s="204"/>
      <c r="V1043" s="204"/>
      <c r="W1043" s="204"/>
      <c r="X1043" s="204"/>
      <c r="Y1043" s="204"/>
      <c r="Z1043" s="204"/>
      <c r="AA1043" s="204"/>
      <c r="AB1043" s="204"/>
      <c r="AC1043" s="204"/>
      <c r="AD1043" s="204"/>
      <c r="AE1043" s="204"/>
      <c r="AF1043" s="204"/>
      <c r="AG1043" s="204"/>
      <c r="AH1043" s="204"/>
      <c r="AI1043" s="204"/>
    </row>
    <row r="1044">
      <c r="A1044" s="204"/>
      <c r="B1044" s="204"/>
      <c r="C1044" s="204"/>
      <c r="D1044" s="204"/>
      <c r="E1044" s="204"/>
      <c r="F1044" s="204"/>
      <c r="G1044" s="204"/>
      <c r="H1044" s="204"/>
      <c r="I1044" s="204"/>
      <c r="J1044" s="204"/>
      <c r="K1044" s="204"/>
      <c r="L1044" s="204"/>
      <c r="M1044" s="204"/>
      <c r="N1044" s="204"/>
      <c r="O1044" s="204"/>
      <c r="P1044" s="204"/>
      <c r="Q1044" s="204"/>
      <c r="R1044" s="204"/>
      <c r="S1044" s="204"/>
      <c r="T1044" s="204"/>
      <c r="U1044" s="204"/>
      <c r="V1044" s="204"/>
      <c r="W1044" s="204"/>
      <c r="X1044" s="204"/>
      <c r="Y1044" s="204"/>
      <c r="Z1044" s="204"/>
      <c r="AA1044" s="204"/>
      <c r="AB1044" s="204"/>
      <c r="AC1044" s="204"/>
      <c r="AD1044" s="204"/>
      <c r="AE1044" s="204"/>
      <c r="AF1044" s="204"/>
      <c r="AG1044" s="204"/>
      <c r="AH1044" s="204"/>
      <c r="AI1044" s="204"/>
    </row>
    <row r="1045">
      <c r="A1045" s="204"/>
      <c r="B1045" s="204"/>
      <c r="C1045" s="204"/>
      <c r="D1045" s="204"/>
      <c r="E1045" s="204"/>
      <c r="F1045" s="204"/>
      <c r="G1045" s="204"/>
      <c r="H1045" s="204"/>
      <c r="I1045" s="204"/>
      <c r="J1045" s="204"/>
      <c r="K1045" s="204"/>
      <c r="L1045" s="204"/>
      <c r="M1045" s="204"/>
      <c r="N1045" s="204"/>
      <c r="O1045" s="204"/>
      <c r="P1045" s="204"/>
      <c r="Q1045" s="204"/>
      <c r="R1045" s="204"/>
      <c r="S1045" s="204"/>
      <c r="T1045" s="204"/>
      <c r="U1045" s="204"/>
      <c r="V1045" s="204"/>
      <c r="W1045" s="204"/>
      <c r="X1045" s="204"/>
      <c r="Y1045" s="204"/>
      <c r="Z1045" s="204"/>
      <c r="AA1045" s="204"/>
      <c r="AB1045" s="204"/>
      <c r="AC1045" s="204"/>
      <c r="AD1045" s="204"/>
      <c r="AE1045" s="204"/>
      <c r="AF1045" s="204"/>
      <c r="AG1045" s="204"/>
      <c r="AH1045" s="204"/>
      <c r="AI1045" s="204"/>
    </row>
    <row r="1046">
      <c r="A1046" s="204"/>
      <c r="B1046" s="204"/>
      <c r="C1046" s="204"/>
      <c r="D1046" s="204"/>
      <c r="E1046" s="204"/>
      <c r="F1046" s="204"/>
      <c r="G1046" s="204"/>
      <c r="H1046" s="204"/>
      <c r="I1046" s="204"/>
      <c r="J1046" s="204"/>
      <c r="K1046" s="204"/>
      <c r="L1046" s="204"/>
      <c r="M1046" s="204"/>
      <c r="N1046" s="204"/>
      <c r="O1046" s="204"/>
      <c r="P1046" s="204"/>
      <c r="Q1046" s="204"/>
      <c r="R1046" s="204"/>
      <c r="S1046" s="204"/>
      <c r="T1046" s="204"/>
      <c r="U1046" s="204"/>
      <c r="V1046" s="204"/>
      <c r="W1046" s="204"/>
      <c r="X1046" s="204"/>
      <c r="Y1046" s="204"/>
      <c r="Z1046" s="204"/>
      <c r="AA1046" s="204"/>
      <c r="AB1046" s="204"/>
      <c r="AC1046" s="204"/>
      <c r="AD1046" s="204"/>
      <c r="AE1046" s="204"/>
      <c r="AF1046" s="204"/>
      <c r="AG1046" s="204"/>
      <c r="AH1046" s="204"/>
      <c r="AI1046" s="204"/>
    </row>
    <row r="1047">
      <c r="A1047" s="204"/>
      <c r="B1047" s="204"/>
      <c r="C1047" s="204"/>
      <c r="D1047" s="204"/>
      <c r="E1047" s="204"/>
      <c r="F1047" s="204"/>
      <c r="G1047" s="204"/>
      <c r="H1047" s="204"/>
      <c r="I1047" s="204"/>
      <c r="J1047" s="204"/>
      <c r="K1047" s="204"/>
      <c r="L1047" s="204"/>
      <c r="M1047" s="204"/>
      <c r="N1047" s="204"/>
      <c r="O1047" s="204"/>
      <c r="P1047" s="204"/>
      <c r="Q1047" s="204"/>
      <c r="R1047" s="204"/>
      <c r="S1047" s="204"/>
      <c r="T1047" s="204"/>
      <c r="U1047" s="204"/>
      <c r="V1047" s="204"/>
      <c r="W1047" s="204"/>
      <c r="X1047" s="204"/>
      <c r="Y1047" s="204"/>
      <c r="Z1047" s="204"/>
      <c r="AA1047" s="204"/>
      <c r="AB1047" s="204"/>
      <c r="AC1047" s="204"/>
      <c r="AD1047" s="204"/>
      <c r="AE1047" s="204"/>
      <c r="AF1047" s="204"/>
      <c r="AG1047" s="204"/>
      <c r="AH1047" s="204"/>
      <c r="AI1047" s="204"/>
    </row>
    <row r="1048">
      <c r="A1048" s="204"/>
      <c r="B1048" s="204"/>
      <c r="C1048" s="204"/>
      <c r="D1048" s="204"/>
      <c r="E1048" s="204"/>
      <c r="F1048" s="204"/>
      <c r="G1048" s="204"/>
      <c r="H1048" s="204"/>
      <c r="I1048" s="204"/>
      <c r="J1048" s="204"/>
      <c r="K1048" s="204"/>
      <c r="L1048" s="204"/>
      <c r="M1048" s="204"/>
      <c r="N1048" s="204"/>
      <c r="O1048" s="204"/>
      <c r="P1048" s="204"/>
      <c r="Q1048" s="204"/>
      <c r="R1048" s="204"/>
      <c r="S1048" s="204"/>
      <c r="T1048" s="204"/>
      <c r="U1048" s="204"/>
      <c r="V1048" s="204"/>
      <c r="W1048" s="204"/>
      <c r="X1048" s="204"/>
      <c r="Y1048" s="204"/>
      <c r="Z1048" s="204"/>
      <c r="AA1048" s="204"/>
      <c r="AB1048" s="204"/>
      <c r="AC1048" s="204"/>
      <c r="AD1048" s="204"/>
      <c r="AE1048" s="204"/>
      <c r="AF1048" s="204"/>
      <c r="AG1048" s="204"/>
      <c r="AH1048" s="204"/>
      <c r="AI1048" s="204"/>
    </row>
    <row r="1049">
      <c r="A1049" s="204"/>
      <c r="B1049" s="204"/>
      <c r="C1049" s="204"/>
      <c r="D1049" s="204"/>
      <c r="E1049" s="204"/>
      <c r="F1049" s="204"/>
      <c r="G1049" s="204"/>
      <c r="H1049" s="204"/>
      <c r="I1049" s="204"/>
      <c r="J1049" s="204"/>
      <c r="K1049" s="204"/>
      <c r="L1049" s="204"/>
      <c r="M1049" s="204"/>
      <c r="N1049" s="204"/>
      <c r="O1049" s="204"/>
      <c r="P1049" s="204"/>
      <c r="Q1049" s="204"/>
      <c r="R1049" s="204"/>
      <c r="S1049" s="204"/>
      <c r="T1049" s="204"/>
      <c r="U1049" s="204"/>
      <c r="V1049" s="204"/>
      <c r="W1049" s="204"/>
      <c r="X1049" s="204"/>
      <c r="Y1049" s="204"/>
      <c r="Z1049" s="204"/>
      <c r="AA1049" s="204"/>
      <c r="AB1049" s="204"/>
      <c r="AC1049" s="204"/>
      <c r="AD1049" s="204"/>
      <c r="AE1049" s="204"/>
      <c r="AF1049" s="204"/>
      <c r="AG1049" s="204"/>
      <c r="AH1049" s="204"/>
      <c r="AI1049" s="204"/>
    </row>
  </sheetData>
  <mergeCells count="71">
    <mergeCell ref="H36:H37"/>
    <mergeCell ref="I36:K36"/>
    <mergeCell ref="O38:O69"/>
    <mergeCell ref="B36:B37"/>
    <mergeCell ref="B38:B41"/>
    <mergeCell ref="A38:A53"/>
    <mergeCell ref="B42:B45"/>
    <mergeCell ref="B46:B49"/>
    <mergeCell ref="B50:B53"/>
    <mergeCell ref="A54:A69"/>
    <mergeCell ref="B54:B57"/>
    <mergeCell ref="B58:B61"/>
    <mergeCell ref="B62:B65"/>
    <mergeCell ref="B66:B69"/>
    <mergeCell ref="A36:A37"/>
    <mergeCell ref="C36:C37"/>
    <mergeCell ref="D36:D37"/>
    <mergeCell ref="E36:E37"/>
    <mergeCell ref="F36:F37"/>
    <mergeCell ref="G36:G37"/>
    <mergeCell ref="F38:F69"/>
    <mergeCell ref="H1:H2"/>
    <mergeCell ref="I1:K1"/>
    <mergeCell ref="L1:L2"/>
    <mergeCell ref="M1:M2"/>
    <mergeCell ref="N1:N2"/>
    <mergeCell ref="O1:O2"/>
    <mergeCell ref="P1:P2"/>
    <mergeCell ref="X1:X2"/>
    <mergeCell ref="Y1:Y2"/>
    <mergeCell ref="Z1:Z2"/>
    <mergeCell ref="X35:X37"/>
    <mergeCell ref="Y35:Y37"/>
    <mergeCell ref="Z35:Z37"/>
    <mergeCell ref="Q1:Q2"/>
    <mergeCell ref="R1:R2"/>
    <mergeCell ref="S1:S2"/>
    <mergeCell ref="T1:T2"/>
    <mergeCell ref="U1:U2"/>
    <mergeCell ref="V1:V2"/>
    <mergeCell ref="W1:W2"/>
    <mergeCell ref="B1:B2"/>
    <mergeCell ref="B3:B6"/>
    <mergeCell ref="A1:A2"/>
    <mergeCell ref="C1:C2"/>
    <mergeCell ref="D1:D2"/>
    <mergeCell ref="E1:E2"/>
    <mergeCell ref="F1:F2"/>
    <mergeCell ref="G1:G2"/>
    <mergeCell ref="A3:A18"/>
    <mergeCell ref="B15:B18"/>
    <mergeCell ref="B7:B10"/>
    <mergeCell ref="B11:B14"/>
    <mergeCell ref="A19:A34"/>
    <mergeCell ref="B19:B22"/>
    <mergeCell ref="B23:B26"/>
    <mergeCell ref="B27:B30"/>
    <mergeCell ref="B31:B34"/>
    <mergeCell ref="Q36:Q37"/>
    <mergeCell ref="R36:R37"/>
    <mergeCell ref="S36:S37"/>
    <mergeCell ref="T36:T37"/>
    <mergeCell ref="V36:V37"/>
    <mergeCell ref="W36:W37"/>
    <mergeCell ref="F3:F34"/>
    <mergeCell ref="O3:O34"/>
    <mergeCell ref="L36:L37"/>
    <mergeCell ref="M36:M37"/>
    <mergeCell ref="N36:N37"/>
    <mergeCell ref="O36:O37"/>
    <mergeCell ref="P36:P37"/>
  </mergeCells>
  <conditionalFormatting sqref="I3:J34 L3:L34 I38:J69 L38:L69">
    <cfRule type="cellIs" dxfId="0" priority="1" operator="lessThanOrEqual">
      <formula>1.51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7.63"/>
  </cols>
  <sheetData>
    <row r="1">
      <c r="A1" s="244" t="s">
        <v>133</v>
      </c>
      <c r="AA1" s="244"/>
      <c r="AB1" s="244"/>
    </row>
    <row r="2">
      <c r="A2" s="245" t="s">
        <v>134</v>
      </c>
      <c r="AA2" s="245"/>
      <c r="AB2" s="245"/>
    </row>
    <row r="3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</row>
    <row r="4">
      <c r="A4" s="244" t="s">
        <v>135</v>
      </c>
      <c r="AA4" s="244"/>
      <c r="AB4" s="244"/>
    </row>
    <row r="5">
      <c r="A5" s="245" t="s">
        <v>136</v>
      </c>
      <c r="B5" s="246" t="s">
        <v>137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</row>
    <row r="6">
      <c r="A6" s="245" t="s">
        <v>138</v>
      </c>
      <c r="B6" s="246" t="s">
        <v>139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</row>
    <row r="7">
      <c r="A7" s="245" t="s">
        <v>140</v>
      </c>
      <c r="B7" s="246" t="s">
        <v>141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</row>
    <row r="8">
      <c r="A8" s="245" t="s">
        <v>142</v>
      </c>
      <c r="B8" s="246" t="s">
        <v>143</v>
      </c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</row>
    <row r="9">
      <c r="A9" s="247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5"/>
      <c r="Z9" s="245"/>
      <c r="AA9" s="245"/>
      <c r="AB9" s="245"/>
    </row>
    <row r="10">
      <c r="A10" s="248" t="s">
        <v>144</v>
      </c>
      <c r="B10" s="3"/>
      <c r="C10" s="4"/>
      <c r="D10" s="248" t="s">
        <v>145</v>
      </c>
      <c r="E10" s="3"/>
      <c r="F10" s="4"/>
      <c r="G10" s="248" t="s">
        <v>144</v>
      </c>
      <c r="H10" s="3"/>
      <c r="I10" s="4"/>
      <c r="J10" s="248" t="s">
        <v>144</v>
      </c>
      <c r="K10" s="3"/>
      <c r="L10" s="4"/>
      <c r="M10" s="248" t="s">
        <v>145</v>
      </c>
      <c r="N10" s="3"/>
      <c r="O10" s="4"/>
      <c r="P10" s="248" t="s">
        <v>144</v>
      </c>
      <c r="Q10" s="3"/>
      <c r="R10" s="4"/>
      <c r="S10" s="248" t="s">
        <v>144</v>
      </c>
      <c r="T10" s="3"/>
      <c r="U10" s="4"/>
      <c r="V10" s="248" t="s">
        <v>146</v>
      </c>
      <c r="W10" s="3"/>
      <c r="X10" s="4"/>
      <c r="Z10" s="245"/>
      <c r="AA10" s="245"/>
      <c r="AB10" s="245"/>
    </row>
    <row r="11" ht="45.0" customHeight="1">
      <c r="A11" s="249" t="s">
        <v>147</v>
      </c>
      <c r="B11" s="250" t="s">
        <v>148</v>
      </c>
      <c r="C11" s="251" t="s">
        <v>149</v>
      </c>
      <c r="D11" s="4"/>
      <c r="E11" s="252" t="s">
        <v>150</v>
      </c>
      <c r="F11" s="251" t="s">
        <v>151</v>
      </c>
      <c r="G11" s="4"/>
      <c r="H11" s="250" t="s">
        <v>152</v>
      </c>
      <c r="I11" s="251" t="s">
        <v>153</v>
      </c>
      <c r="J11" s="4"/>
      <c r="K11" s="250" t="s">
        <v>154</v>
      </c>
      <c r="L11" s="251" t="s">
        <v>155</v>
      </c>
      <c r="M11" s="4"/>
      <c r="N11" s="252" t="s">
        <v>156</v>
      </c>
      <c r="O11" s="251" t="s">
        <v>157</v>
      </c>
      <c r="P11" s="4"/>
      <c r="Q11" s="250" t="s">
        <v>158</v>
      </c>
      <c r="R11" s="251" t="s">
        <v>159</v>
      </c>
      <c r="S11" s="4"/>
      <c r="T11" s="250" t="s">
        <v>160</v>
      </c>
      <c r="U11" s="251" t="s">
        <v>161</v>
      </c>
      <c r="V11" s="4"/>
      <c r="W11" s="253" t="s">
        <v>162</v>
      </c>
      <c r="X11" s="249" t="s">
        <v>163</v>
      </c>
      <c r="Z11" s="254"/>
      <c r="AA11" s="254"/>
      <c r="AB11" s="254"/>
    </row>
    <row r="12" ht="45.0" customHeight="1">
      <c r="A12" s="255" t="s">
        <v>164</v>
      </c>
      <c r="B12" s="255" t="s">
        <v>165</v>
      </c>
      <c r="C12" s="255" t="s">
        <v>166</v>
      </c>
      <c r="D12" s="255" t="s">
        <v>167</v>
      </c>
      <c r="E12" s="255" t="s">
        <v>168</v>
      </c>
      <c r="F12" s="255" t="s">
        <v>169</v>
      </c>
      <c r="G12" s="255" t="s">
        <v>170</v>
      </c>
      <c r="H12" s="255" t="s">
        <v>171</v>
      </c>
      <c r="I12" s="255" t="s">
        <v>172</v>
      </c>
      <c r="J12" s="255" t="s">
        <v>173</v>
      </c>
      <c r="K12" s="255" t="s">
        <v>174</v>
      </c>
      <c r="L12" s="255" t="s">
        <v>175</v>
      </c>
      <c r="M12" s="255" t="s">
        <v>176</v>
      </c>
      <c r="N12" s="255" t="s">
        <v>177</v>
      </c>
      <c r="O12" s="255" t="s">
        <v>178</v>
      </c>
      <c r="P12" s="255" t="s">
        <v>179</v>
      </c>
      <c r="Q12" s="255" t="s">
        <v>180</v>
      </c>
      <c r="R12" s="255" t="s">
        <v>181</v>
      </c>
      <c r="S12" s="255" t="s">
        <v>182</v>
      </c>
      <c r="T12" s="255" t="s">
        <v>183</v>
      </c>
      <c r="U12" s="255" t="s">
        <v>184</v>
      </c>
      <c r="V12" s="255"/>
      <c r="W12" s="255" t="s">
        <v>185</v>
      </c>
      <c r="X12" s="255" t="s">
        <v>186</v>
      </c>
      <c r="Z12" s="256"/>
      <c r="AA12" s="256"/>
      <c r="AB12" s="256"/>
    </row>
    <row r="13" ht="45.0" customHeight="1">
      <c r="A13" s="255" t="s">
        <v>187</v>
      </c>
      <c r="B13" s="255" t="s">
        <v>188</v>
      </c>
      <c r="C13" s="255" t="s">
        <v>189</v>
      </c>
      <c r="D13" s="255" t="s">
        <v>190</v>
      </c>
      <c r="E13" s="255" t="s">
        <v>191</v>
      </c>
      <c r="F13" s="255" t="s">
        <v>192</v>
      </c>
      <c r="G13" s="255" t="s">
        <v>193</v>
      </c>
      <c r="H13" s="255" t="s">
        <v>194</v>
      </c>
      <c r="I13" s="255" t="s">
        <v>195</v>
      </c>
      <c r="J13" s="255" t="s">
        <v>196</v>
      </c>
      <c r="K13" s="255" t="s">
        <v>197</v>
      </c>
      <c r="L13" s="255" t="s">
        <v>198</v>
      </c>
      <c r="M13" s="255" t="s">
        <v>199</v>
      </c>
      <c r="N13" s="255" t="s">
        <v>200</v>
      </c>
      <c r="O13" s="255" t="s">
        <v>201</v>
      </c>
      <c r="P13" s="255" t="s">
        <v>202</v>
      </c>
      <c r="Q13" s="255" t="s">
        <v>203</v>
      </c>
      <c r="R13" s="255" t="s">
        <v>204</v>
      </c>
      <c r="S13" s="255" t="s">
        <v>205</v>
      </c>
      <c r="T13" s="255" t="s">
        <v>206</v>
      </c>
      <c r="U13" s="255" t="s">
        <v>207</v>
      </c>
      <c r="V13" s="257"/>
      <c r="W13" s="257"/>
      <c r="X13" s="257"/>
      <c r="Z13" s="256"/>
      <c r="AA13" s="256"/>
      <c r="AB13" s="256"/>
    </row>
    <row r="14" ht="45.0" customHeight="1">
      <c r="A14" s="257"/>
      <c r="B14" s="257"/>
      <c r="C14" s="257"/>
      <c r="D14" s="255" t="s">
        <v>208</v>
      </c>
      <c r="E14" s="257"/>
      <c r="F14" s="257"/>
      <c r="G14" s="257"/>
      <c r="H14" s="257"/>
      <c r="I14" s="257"/>
      <c r="J14" s="257"/>
      <c r="K14" s="257"/>
      <c r="L14" s="257"/>
      <c r="M14" s="255" t="s">
        <v>209</v>
      </c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Z14" s="256"/>
      <c r="AA14" s="256"/>
      <c r="AB14" s="256"/>
    </row>
    <row r="15" ht="45.0" customHeight="1">
      <c r="A15" s="258"/>
      <c r="B15" s="259"/>
      <c r="C15" s="259"/>
      <c r="D15" s="260"/>
      <c r="E15" s="259"/>
      <c r="F15" s="259"/>
      <c r="G15" s="260"/>
      <c r="H15" s="259"/>
      <c r="I15" s="259"/>
      <c r="J15" s="260"/>
      <c r="K15" s="259"/>
      <c r="L15" s="259"/>
      <c r="M15" s="260"/>
      <c r="N15" s="259"/>
      <c r="O15" s="259"/>
      <c r="P15" s="260"/>
      <c r="Q15" s="259"/>
      <c r="R15" s="259"/>
      <c r="S15" s="260"/>
      <c r="T15" s="259"/>
      <c r="U15" s="259"/>
      <c r="V15" s="259"/>
      <c r="W15" s="260"/>
      <c r="X15" s="261"/>
    </row>
    <row r="16">
      <c r="A16" s="262" t="s">
        <v>210</v>
      </c>
      <c r="B16" s="262" t="s">
        <v>211</v>
      </c>
      <c r="C16" s="262" t="s">
        <v>212</v>
      </c>
      <c r="D16" s="263" t="s">
        <v>213</v>
      </c>
      <c r="E16" s="264" t="s">
        <v>214</v>
      </c>
      <c r="F16" s="262" t="s">
        <v>215</v>
      </c>
      <c r="G16" s="262" t="s">
        <v>216</v>
      </c>
      <c r="H16" s="265"/>
      <c r="I16" s="265"/>
      <c r="J16" s="266"/>
      <c r="K16" s="265"/>
      <c r="L16" s="265"/>
      <c r="M16" s="266"/>
      <c r="N16" s="265"/>
      <c r="O16" s="265"/>
      <c r="P16" s="267" t="s">
        <v>217</v>
      </c>
      <c r="Q16" s="267" t="s">
        <v>218</v>
      </c>
      <c r="R16" s="265"/>
      <c r="S16" s="267" t="s">
        <v>219</v>
      </c>
      <c r="T16" s="268"/>
      <c r="U16" s="265"/>
      <c r="V16" s="265"/>
      <c r="W16" s="266"/>
      <c r="X16" s="266"/>
      <c r="Y16" s="265"/>
      <c r="Z16" s="265"/>
      <c r="AA16" s="265"/>
      <c r="AB16" s="269"/>
    </row>
    <row r="17" ht="21.0" customHeight="1">
      <c r="A17" s="270">
        <v>256.0</v>
      </c>
      <c r="B17" s="270">
        <v>256.0</v>
      </c>
      <c r="C17" s="22">
        <v>2.0</v>
      </c>
      <c r="D17" s="270">
        <v>32.0</v>
      </c>
      <c r="E17" s="22">
        <v>2.0</v>
      </c>
      <c r="F17" s="22">
        <v>3.0</v>
      </c>
      <c r="G17" s="22">
        <v>3.0</v>
      </c>
      <c r="H17" s="271"/>
      <c r="I17" s="271"/>
      <c r="J17" s="272"/>
      <c r="K17" s="271"/>
      <c r="L17" s="271"/>
      <c r="M17" s="272"/>
      <c r="N17" s="271"/>
      <c r="O17" s="271"/>
      <c r="P17" s="22">
        <v>1.0</v>
      </c>
      <c r="Q17" s="22">
        <v>1.0</v>
      </c>
      <c r="R17" s="271"/>
      <c r="S17" s="270">
        <v>4.0</v>
      </c>
      <c r="T17" s="273" t="s">
        <v>220</v>
      </c>
      <c r="U17" s="274"/>
      <c r="V17" s="274"/>
      <c r="W17" s="274"/>
      <c r="X17" s="274"/>
      <c r="Y17" s="274"/>
      <c r="Z17" s="274"/>
      <c r="AA17" s="271"/>
      <c r="AB17" s="8"/>
    </row>
    <row r="18" ht="45.0" customHeight="1">
      <c r="A18" s="275"/>
      <c r="B18" s="276"/>
      <c r="C18" s="276"/>
      <c r="D18" s="277"/>
      <c r="E18" s="276"/>
      <c r="F18" s="276"/>
      <c r="G18" s="278"/>
      <c r="H18" s="276"/>
      <c r="I18" s="276"/>
      <c r="J18" s="278"/>
      <c r="K18" s="276"/>
      <c r="L18" s="276"/>
      <c r="M18" s="277"/>
      <c r="N18" s="276"/>
      <c r="O18" s="276"/>
      <c r="P18" s="278"/>
      <c r="Q18" s="276"/>
      <c r="R18" s="256"/>
      <c r="S18" s="275"/>
      <c r="T18" s="256"/>
      <c r="U18" s="256"/>
      <c r="V18" s="256"/>
      <c r="W18" s="275"/>
      <c r="X18" s="256"/>
      <c r="Y18" s="256"/>
      <c r="Z18" s="256"/>
      <c r="AA18" s="256"/>
      <c r="AB18" s="256"/>
    </row>
    <row r="19" ht="45.0" customHeight="1">
      <c r="A19" s="279"/>
      <c r="B19" s="280" t="s">
        <v>148</v>
      </c>
      <c r="C19" s="4"/>
      <c r="D19" s="281" t="s">
        <v>150</v>
      </c>
      <c r="E19" s="4"/>
      <c r="F19" s="280" t="s">
        <v>152</v>
      </c>
      <c r="G19" s="4"/>
      <c r="H19" s="280" t="s">
        <v>154</v>
      </c>
      <c r="I19" s="4"/>
      <c r="J19" s="281" t="s">
        <v>156</v>
      </c>
      <c r="K19" s="4"/>
      <c r="L19" s="280" t="s">
        <v>158</v>
      </c>
      <c r="M19" s="4"/>
      <c r="N19" s="280" t="s">
        <v>160</v>
      </c>
      <c r="O19" s="4"/>
      <c r="P19" s="282" t="s">
        <v>162</v>
      </c>
      <c r="Q19" s="4"/>
      <c r="R19" s="283"/>
      <c r="S19" s="283"/>
      <c r="T19" s="283"/>
      <c r="U19" s="283"/>
      <c r="X19" s="284" t="s">
        <v>221</v>
      </c>
    </row>
    <row r="20" ht="45.0" customHeight="1">
      <c r="A20" s="264" t="s">
        <v>222</v>
      </c>
      <c r="B20" s="285" t="s">
        <v>223</v>
      </c>
      <c r="C20" s="286" t="s">
        <v>224</v>
      </c>
      <c r="D20" s="285" t="s">
        <v>225</v>
      </c>
      <c r="E20" s="286" t="s">
        <v>224</v>
      </c>
      <c r="F20" s="285" t="s">
        <v>223</v>
      </c>
      <c r="G20" s="286" t="s">
        <v>224</v>
      </c>
      <c r="H20" s="285" t="s">
        <v>223</v>
      </c>
      <c r="I20" s="286" t="s">
        <v>224</v>
      </c>
      <c r="J20" s="285" t="s">
        <v>225</v>
      </c>
      <c r="K20" s="286" t="s">
        <v>224</v>
      </c>
      <c r="L20" s="285" t="s">
        <v>223</v>
      </c>
      <c r="M20" s="286" t="s">
        <v>224</v>
      </c>
      <c r="N20" s="285" t="s">
        <v>223</v>
      </c>
      <c r="O20" s="286" t="s">
        <v>224</v>
      </c>
      <c r="P20" s="285" t="s">
        <v>223</v>
      </c>
      <c r="Q20" s="286" t="s">
        <v>226</v>
      </c>
      <c r="R20" s="287" t="s">
        <v>227</v>
      </c>
      <c r="S20" s="287" t="s">
        <v>228</v>
      </c>
      <c r="T20" s="288" t="s">
        <v>229</v>
      </c>
      <c r="U20" s="289" t="s">
        <v>230</v>
      </c>
      <c r="V20" s="264" t="s">
        <v>231</v>
      </c>
      <c r="X20" s="287" t="s">
        <v>227</v>
      </c>
      <c r="Y20" s="287" t="s">
        <v>228</v>
      </c>
      <c r="Z20" s="288" t="s">
        <v>229</v>
      </c>
      <c r="AA20" s="289" t="s">
        <v>230</v>
      </c>
      <c r="AB20" s="264" t="s">
        <v>231</v>
      </c>
    </row>
    <row r="21" ht="45.0" customHeight="1">
      <c r="A21" s="290">
        <f>C17*A17*B17*S17/1000000</f>
        <v>0.524288</v>
      </c>
      <c r="B21" s="291">
        <f>F17*G17*C17*D17</f>
        <v>576</v>
      </c>
      <c r="C21" s="292">
        <f>D17*A17*B17*2*S17/1000000</f>
        <v>16.777216</v>
      </c>
      <c r="D21" s="291">
        <f>D17*D17*F17*G17*2</f>
        <v>18432</v>
      </c>
      <c r="E21" s="292">
        <f>D17*A17*B17*2*S17/1000000</f>
        <v>16.777216</v>
      </c>
      <c r="F21" s="291">
        <f>F17*G17*D17*D17</f>
        <v>9216</v>
      </c>
      <c r="G21" s="292">
        <f>D17*A17*B17*2*S17/1000000</f>
        <v>16.777216</v>
      </c>
      <c r="H21" s="291">
        <f>F17*G17*D17*D17</f>
        <v>9216</v>
      </c>
      <c r="I21" s="292">
        <f>D17*A17*B17*2*S17/1000000</f>
        <v>16.777216</v>
      </c>
      <c r="J21" s="291">
        <f>D17*D17*F17*G17*2</f>
        <v>18432</v>
      </c>
      <c r="K21" s="292">
        <f>D17*A17*B17*2*S17/1000000</f>
        <v>16.777216</v>
      </c>
      <c r="L21" s="291">
        <f>F17*G17*D17*D17</f>
        <v>9216</v>
      </c>
      <c r="M21" s="292">
        <f>D17*A17*B17*2*S17/1000000</f>
        <v>16.777216</v>
      </c>
      <c r="N21" s="291">
        <f>F17*G17*D17*D17</f>
        <v>9216</v>
      </c>
      <c r="O21" s="292">
        <f>D17*A17*B17*2*S17/1000000</f>
        <v>16.777216</v>
      </c>
      <c r="P21" s="291">
        <f>P17*Q17*D17*E17</f>
        <v>64</v>
      </c>
      <c r="Q21" s="293">
        <f>E17*A17*B17*S17/1000000</f>
        <v>0.524288</v>
      </c>
      <c r="R21" s="294">
        <f>SUM(B21,B23,D21,D23,F21,F23,H21,H23,J21,J23,L21,L23,N21,N23,P21)</f>
        <v>74816</v>
      </c>
      <c r="S21" s="295">
        <f>R21*S17/1000000</f>
        <v>0.299264</v>
      </c>
      <c r="T21" s="296">
        <f>SUM(C21,E21,G21,I21,K21,M21,O21)</f>
        <v>117.440512</v>
      </c>
      <c r="U21" s="297">
        <f>SUM(C21/2,D21*S17/1000000,E21,E23/2,D23*S17/1000000)</f>
        <v>33.628416</v>
      </c>
      <c r="V21" s="298">
        <f>SUM(A21,C21,E21,E23,G21,I21,K21,K23,M21,O21,Q21,C23,G23,I23,M23,O23)</f>
        <v>193.98656</v>
      </c>
      <c r="X21" s="294">
        <f>SUM(B21,B23,D21,D23,F21,F23,J21,J23,L21,L23,P21)</f>
        <v>56256</v>
      </c>
      <c r="Y21" s="295">
        <f>X21*S17/1000000</f>
        <v>0.225024</v>
      </c>
      <c r="Z21" s="296">
        <f>SUM(Y21,C21,E21,G21,K21)</f>
        <v>67.333888</v>
      </c>
      <c r="AA21" s="297">
        <f>SUM(C21/2,D21*S17/1000000,E21,E23/2,D23*S17/1000000)</f>
        <v>33.628416</v>
      </c>
      <c r="AB21" s="298">
        <f>SUM(A21,C21,C23,E21,E23,G21,G23,K21,K23,M21,M23,Q21)</f>
        <v>143.654912</v>
      </c>
    </row>
    <row r="22" ht="45.0" customHeight="1">
      <c r="A22" s="279"/>
      <c r="B22" s="285" t="s">
        <v>232</v>
      </c>
      <c r="C22" s="286" t="s">
        <v>233</v>
      </c>
      <c r="D22" s="285" t="s">
        <v>232</v>
      </c>
      <c r="E22" s="286" t="s">
        <v>234</v>
      </c>
      <c r="F22" s="285" t="s">
        <v>232</v>
      </c>
      <c r="G22" s="286" t="s">
        <v>233</v>
      </c>
      <c r="H22" s="285" t="s">
        <v>232</v>
      </c>
      <c r="I22" s="286" t="s">
        <v>233</v>
      </c>
      <c r="J22" s="285" t="s">
        <v>232</v>
      </c>
      <c r="K22" s="286" t="s">
        <v>234</v>
      </c>
      <c r="L22" s="285" t="s">
        <v>232</v>
      </c>
      <c r="M22" s="286" t="s">
        <v>233</v>
      </c>
      <c r="N22" s="285" t="s">
        <v>232</v>
      </c>
      <c r="O22" s="286" t="s">
        <v>233</v>
      </c>
      <c r="P22" s="285"/>
      <c r="Q22" s="299"/>
      <c r="T22" s="283"/>
      <c r="X22" s="300" t="s">
        <v>235</v>
      </c>
      <c r="Y22" s="301" t="s">
        <v>236</v>
      </c>
      <c r="Z22" s="263" t="s">
        <v>237</v>
      </c>
    </row>
    <row r="23" ht="45.0" customHeight="1">
      <c r="A23" s="302"/>
      <c r="B23" s="303">
        <f>D17*2</f>
        <v>64</v>
      </c>
      <c r="C23" s="304">
        <f>D17*A17*B17*S17/1000000</f>
        <v>8.388608</v>
      </c>
      <c r="D23" s="291">
        <f>D17*2</f>
        <v>64</v>
      </c>
      <c r="E23" s="293">
        <f>D17*A17*B17*2*S17/1000000</f>
        <v>16.777216</v>
      </c>
      <c r="F23" s="305">
        <f>D17*2</f>
        <v>64</v>
      </c>
      <c r="G23" s="293">
        <f>D17*A17*B17*S17/1000000</f>
        <v>8.388608</v>
      </c>
      <c r="H23" s="305">
        <f>D17*2</f>
        <v>64</v>
      </c>
      <c r="I23" s="293">
        <f>D17*A17*B17*S17/1000000</f>
        <v>8.388608</v>
      </c>
      <c r="J23" s="291">
        <f>D17*2</f>
        <v>64</v>
      </c>
      <c r="K23" s="293">
        <f>D17*A17*B17*2*S17/1000000</f>
        <v>16.777216</v>
      </c>
      <c r="L23" s="303">
        <f>D17*2</f>
        <v>64</v>
      </c>
      <c r="M23" s="304">
        <f>D17*A17*B17*S17/1000000</f>
        <v>8.388608</v>
      </c>
      <c r="N23" s="303">
        <f>D17*2</f>
        <v>64</v>
      </c>
      <c r="O23" s="304">
        <f>D17*A17*B17*S17/1000000</f>
        <v>8.388608</v>
      </c>
      <c r="P23" s="306"/>
      <c r="Q23" s="307"/>
      <c r="T23" s="8"/>
      <c r="X23" s="308">
        <f>SUM(B25,D25,F25,J25,L25,P25)</f>
        <v>3.665821696</v>
      </c>
      <c r="Y23" s="309">
        <f>SUM(C25,E25,G25,K25,M25)</f>
        <v>0.08388608</v>
      </c>
      <c r="Z23" s="310">
        <f>Y23+2*X23</f>
        <v>7.415529472</v>
      </c>
    </row>
    <row r="24" ht="45.0" customHeight="1">
      <c r="A24" s="311"/>
      <c r="B24" s="312" t="s">
        <v>9</v>
      </c>
      <c r="C24" s="313" t="s">
        <v>238</v>
      </c>
      <c r="D24" s="312" t="s">
        <v>9</v>
      </c>
      <c r="E24" s="313" t="s">
        <v>238</v>
      </c>
      <c r="F24" s="312" t="s">
        <v>9</v>
      </c>
      <c r="G24" s="313" t="s">
        <v>238</v>
      </c>
      <c r="H24" s="312" t="s">
        <v>9</v>
      </c>
      <c r="I24" s="313" t="s">
        <v>238</v>
      </c>
      <c r="J24" s="312" t="s">
        <v>9</v>
      </c>
      <c r="K24" s="313" t="s">
        <v>238</v>
      </c>
      <c r="L24" s="312" t="s">
        <v>9</v>
      </c>
      <c r="M24" s="313" t="s">
        <v>238</v>
      </c>
      <c r="N24" s="312" t="s">
        <v>9</v>
      </c>
      <c r="O24" s="313" t="s">
        <v>238</v>
      </c>
      <c r="P24" s="312" t="s">
        <v>9</v>
      </c>
      <c r="Q24" s="313"/>
      <c r="R24" s="300" t="s">
        <v>235</v>
      </c>
      <c r="S24" s="301" t="s">
        <v>236</v>
      </c>
      <c r="T24" s="263" t="s">
        <v>237</v>
      </c>
    </row>
    <row r="25" ht="45.0" customHeight="1">
      <c r="A25" s="314"/>
      <c r="B25" s="315">
        <f>D17*C17*F17*G17*A17*B17/1000000000</f>
        <v>0.037748736</v>
      </c>
      <c r="C25" s="316">
        <f>8*D17*A17*B17/1000000000</f>
        <v>0.016777216</v>
      </c>
      <c r="D25" s="317">
        <f>2*D17*D17*F17*G17*A17*B17/1000000000</f>
        <v>1.207959552</v>
      </c>
      <c r="E25" s="318">
        <f>8*D17*A17*B17/1000000000</f>
        <v>0.016777216</v>
      </c>
      <c r="F25" s="317">
        <f>D17*D17*F17*G17*A17*B17/1000000000</f>
        <v>0.603979776</v>
      </c>
      <c r="G25" s="316">
        <f>8*D17*A17*B17/1000000000</f>
        <v>0.016777216</v>
      </c>
      <c r="H25" s="317">
        <f>D17*D17*F17*G17*A17*B17/1000000000</f>
        <v>0.603979776</v>
      </c>
      <c r="I25" s="316">
        <f>8*D17*A17*B17/1000000000</f>
        <v>0.016777216</v>
      </c>
      <c r="J25" s="319">
        <f>2*D17*D17*F17*G17*A17*B17/1000000000</f>
        <v>1.207959552</v>
      </c>
      <c r="K25" s="318">
        <f>8*D17*A17*B17/1000000000</f>
        <v>0.016777216</v>
      </c>
      <c r="L25" s="317">
        <f>D17*D17*F17*G17*A17*B17/1000000000</f>
        <v>0.603979776</v>
      </c>
      <c r="M25" s="316">
        <f>8*D17*A17*B17/1000000000</f>
        <v>0.016777216</v>
      </c>
      <c r="N25" s="317">
        <f>D17*D17*F17*G17*A17*B17/1000000000</f>
        <v>0.603979776</v>
      </c>
      <c r="O25" s="316">
        <f>8*D17*A17*B17/1000000000</f>
        <v>0.016777216</v>
      </c>
      <c r="P25" s="317">
        <f>E17*D17*P17*Q17*A17*B17/1000000000</f>
        <v>0.004194304</v>
      </c>
      <c r="Q25" s="307"/>
      <c r="R25" s="308">
        <f>SUM(B25,D25,F25,H25,J25,L25,N25,P25)</f>
        <v>4.873781248</v>
      </c>
      <c r="S25" s="309">
        <f>SUM(C25,E25,G25,I25,K25,M25,O25)</f>
        <v>0.117440512</v>
      </c>
      <c r="T25" s="310">
        <f>S25+2*R25</f>
        <v>9.865003008</v>
      </c>
      <c r="U25" s="8"/>
      <c r="V25" s="320" t="s">
        <v>239</v>
      </c>
      <c r="AB25" s="320"/>
    </row>
    <row r="26">
      <c r="A26" s="244" t="s">
        <v>240</v>
      </c>
      <c r="AB26" s="244"/>
    </row>
    <row r="27" ht="45.0" customHeight="1">
      <c r="A27" s="321"/>
      <c r="B27" s="280" t="s">
        <v>148</v>
      </c>
      <c r="C27" s="4"/>
      <c r="D27" s="280" t="s">
        <v>152</v>
      </c>
      <c r="E27" s="4"/>
      <c r="F27" s="280" t="s">
        <v>154</v>
      </c>
      <c r="G27" s="4"/>
      <c r="H27" s="280" t="s">
        <v>158</v>
      </c>
      <c r="I27" s="4"/>
      <c r="J27" s="280" t="s">
        <v>160</v>
      </c>
      <c r="K27" s="4"/>
      <c r="L27" s="280" t="s">
        <v>241</v>
      </c>
      <c r="M27" s="4"/>
      <c r="N27" s="280" t="s">
        <v>242</v>
      </c>
      <c r="O27" s="4"/>
      <c r="P27" s="282" t="s">
        <v>162</v>
      </c>
      <c r="Q27" s="4"/>
      <c r="R27" s="283"/>
      <c r="S27" s="283"/>
    </row>
    <row r="28" ht="45.0" customHeight="1">
      <c r="A28" s="264" t="s">
        <v>222</v>
      </c>
      <c r="B28" s="285" t="s">
        <v>223</v>
      </c>
      <c r="C28" s="286" t="s">
        <v>224</v>
      </c>
      <c r="D28" s="285" t="s">
        <v>223</v>
      </c>
      <c r="E28" s="286" t="s">
        <v>224</v>
      </c>
      <c r="F28" s="285" t="s">
        <v>223</v>
      </c>
      <c r="G28" s="286" t="s">
        <v>224</v>
      </c>
      <c r="H28" s="285" t="s">
        <v>223</v>
      </c>
      <c r="I28" s="286" t="s">
        <v>224</v>
      </c>
      <c r="J28" s="285" t="s">
        <v>223</v>
      </c>
      <c r="K28" s="286" t="s">
        <v>224</v>
      </c>
      <c r="L28" s="285" t="s">
        <v>223</v>
      </c>
      <c r="M28" s="286" t="s">
        <v>224</v>
      </c>
      <c r="N28" s="285" t="s">
        <v>223</v>
      </c>
      <c r="O28" s="286" t="s">
        <v>224</v>
      </c>
      <c r="P28" s="285" t="s">
        <v>223</v>
      </c>
      <c r="Q28" s="286" t="s">
        <v>226</v>
      </c>
      <c r="R28" s="287" t="s">
        <v>227</v>
      </c>
      <c r="S28" s="287" t="s">
        <v>228</v>
      </c>
      <c r="T28" s="288" t="s">
        <v>229</v>
      </c>
      <c r="U28" s="322" t="s">
        <v>243</v>
      </c>
      <c r="V28" s="264" t="s">
        <v>231</v>
      </c>
    </row>
    <row r="29" ht="45.0" customHeight="1">
      <c r="A29" s="290">
        <f>C17*A17*B17*S17/1000000</f>
        <v>0.524288</v>
      </c>
      <c r="B29" s="291">
        <f>F17*G17*C17*D17</f>
        <v>576</v>
      </c>
      <c r="C29" s="292">
        <f>D17*A17*B17*2*S17/1000000</f>
        <v>16.777216</v>
      </c>
      <c r="D29" s="291">
        <f>F17*G17*D17*D17</f>
        <v>9216</v>
      </c>
      <c r="E29" s="292">
        <f>D17*A17*B17*2*S17/1000000</f>
        <v>16.777216</v>
      </c>
      <c r="F29" s="291">
        <f>F17*G17*D17*D17</f>
        <v>9216</v>
      </c>
      <c r="G29" s="292">
        <f>D17*A17*B17*2*S17/1000000</f>
        <v>16.777216</v>
      </c>
      <c r="H29" s="291">
        <f>F17*G17*D17*D17</f>
        <v>9216</v>
      </c>
      <c r="I29" s="292">
        <f>D17*A17*B17*2*S17/1000000</f>
        <v>16.777216</v>
      </c>
      <c r="J29" s="291">
        <f>F17*G17*D17*D17</f>
        <v>9216</v>
      </c>
      <c r="K29" s="292">
        <f>D17*A17*B17*2*S17/1000000</f>
        <v>16.777216</v>
      </c>
      <c r="L29" s="291">
        <f>F17*G17*D17*D17</f>
        <v>9216</v>
      </c>
      <c r="M29" s="292">
        <f>D17*A17*B17*2*S17/1000000</f>
        <v>16.777216</v>
      </c>
      <c r="N29" s="291">
        <f>F17*G17*D17*D17</f>
        <v>9216</v>
      </c>
      <c r="O29" s="292">
        <f>D17*A17*B17*2*S17/1000000</f>
        <v>16.777216</v>
      </c>
      <c r="P29" s="291">
        <f>P17*Q17*D17*E17</f>
        <v>64</v>
      </c>
      <c r="Q29" s="293">
        <f>E17*A17*B17*S17/1000000</f>
        <v>0.524288</v>
      </c>
      <c r="R29" s="294">
        <f>SUM(B29,B31,D29,D31,F29,F31,H29,H31,J29,J31,L29,L31,N29,N31,P29)</f>
        <v>56384</v>
      </c>
      <c r="S29" s="295">
        <f>R29*S17/1000000</f>
        <v>0.225536</v>
      </c>
      <c r="T29" s="296">
        <f>SUM(C29,E29,G29,I29,K29,M29,O29)</f>
        <v>117.440512</v>
      </c>
      <c r="U29" s="323">
        <f>SUM(C29/2,D29*S17/1000000,E29,D29*S17/1000000)</f>
        <v>25.239552</v>
      </c>
      <c r="V29" s="298">
        <f>SUM(A29,C29,E29,E31,G29,I29,K29,K31,M29,O29,Q29,C31,G31,I31,M31,O31)</f>
        <v>177.209344</v>
      </c>
    </row>
    <row r="30" ht="45.0" customHeight="1">
      <c r="A30" s="279"/>
      <c r="B30" s="285" t="s">
        <v>232</v>
      </c>
      <c r="C30" s="286" t="s">
        <v>233</v>
      </c>
      <c r="D30" s="285" t="s">
        <v>232</v>
      </c>
      <c r="E30" s="286" t="s">
        <v>233</v>
      </c>
      <c r="F30" s="285" t="s">
        <v>232</v>
      </c>
      <c r="G30" s="286" t="s">
        <v>233</v>
      </c>
      <c r="H30" s="285" t="s">
        <v>232</v>
      </c>
      <c r="I30" s="286" t="s">
        <v>233</v>
      </c>
      <c r="J30" s="285" t="s">
        <v>232</v>
      </c>
      <c r="K30" s="286" t="s">
        <v>233</v>
      </c>
      <c r="L30" s="285" t="s">
        <v>232</v>
      </c>
      <c r="M30" s="286" t="s">
        <v>233</v>
      </c>
      <c r="N30" s="285" t="s">
        <v>232</v>
      </c>
      <c r="O30" s="286" t="s">
        <v>233</v>
      </c>
      <c r="P30" s="285"/>
      <c r="Q30" s="299"/>
    </row>
    <row r="31" ht="45.0" customHeight="1">
      <c r="A31" s="302"/>
      <c r="B31" s="303">
        <f>D17*2</f>
        <v>64</v>
      </c>
      <c r="C31" s="304">
        <f>D17*A17*B17*S17/1000000</f>
        <v>8.388608</v>
      </c>
      <c r="D31" s="303">
        <f>D17*2</f>
        <v>64</v>
      </c>
      <c r="E31" s="304">
        <f>D17*A17*B17*S17/1000000</f>
        <v>8.388608</v>
      </c>
      <c r="F31" s="303">
        <f>D17*2</f>
        <v>64</v>
      </c>
      <c r="G31" s="304">
        <f>D17*A17*B17*S17/1000000</f>
        <v>8.388608</v>
      </c>
      <c r="H31" s="303">
        <f>D17*2</f>
        <v>64</v>
      </c>
      <c r="I31" s="304">
        <f>D17*A17*B17*S17/1000000</f>
        <v>8.388608</v>
      </c>
      <c r="J31" s="303">
        <f>D17*2</f>
        <v>64</v>
      </c>
      <c r="K31" s="304">
        <f>D17*A17*B17*S17/1000000</f>
        <v>8.388608</v>
      </c>
      <c r="L31" s="303">
        <f>D17*2</f>
        <v>64</v>
      </c>
      <c r="M31" s="304">
        <f>D17*A17*B17*S17/1000000</f>
        <v>8.388608</v>
      </c>
      <c r="N31" s="303">
        <f>D17*2</f>
        <v>64</v>
      </c>
      <c r="O31" s="304">
        <f>D17*A17*B17*S17/1000000</f>
        <v>8.388608</v>
      </c>
      <c r="P31" s="306"/>
      <c r="Q31" s="307"/>
    </row>
    <row r="32" ht="45.0" customHeight="1">
      <c r="A32" s="324"/>
      <c r="B32" s="312" t="s">
        <v>9</v>
      </c>
      <c r="C32" s="313" t="s">
        <v>238</v>
      </c>
      <c r="D32" s="312" t="s">
        <v>9</v>
      </c>
      <c r="E32" s="313" t="s">
        <v>238</v>
      </c>
      <c r="F32" s="312" t="s">
        <v>9</v>
      </c>
      <c r="G32" s="313" t="s">
        <v>238</v>
      </c>
      <c r="H32" s="312" t="s">
        <v>9</v>
      </c>
      <c r="I32" s="313" t="s">
        <v>238</v>
      </c>
      <c r="J32" s="312" t="s">
        <v>9</v>
      </c>
      <c r="K32" s="313" t="s">
        <v>238</v>
      </c>
      <c r="L32" s="312" t="s">
        <v>9</v>
      </c>
      <c r="M32" s="313" t="s">
        <v>238</v>
      </c>
      <c r="N32" s="312" t="s">
        <v>9</v>
      </c>
      <c r="O32" s="313" t="s">
        <v>238</v>
      </c>
      <c r="P32" s="312" t="s">
        <v>9</v>
      </c>
      <c r="Q32" s="313"/>
      <c r="R32" s="300" t="s">
        <v>235</v>
      </c>
      <c r="S32" s="301" t="s">
        <v>236</v>
      </c>
      <c r="T32" s="263" t="s">
        <v>237</v>
      </c>
    </row>
    <row r="33" ht="45.0" customHeight="1">
      <c r="A33" s="325"/>
      <c r="B33" s="315">
        <f>D17*C17*F17*G17*A17*B17/1000000000</f>
        <v>0.037748736</v>
      </c>
      <c r="C33" s="316">
        <f>8*D17*A17*B17/1000000000</f>
        <v>0.016777216</v>
      </c>
      <c r="D33" s="317">
        <f>D17*D17*F17*G17*A17*B17/1000000000</f>
        <v>0.603979776</v>
      </c>
      <c r="E33" s="318">
        <f>8*D17*A17*B17/1000000000</f>
        <v>0.016777216</v>
      </c>
      <c r="F33" s="317">
        <f>D17*D17*F17*G17*A17*B17/1000000000</f>
        <v>0.603979776</v>
      </c>
      <c r="G33" s="316">
        <f>8*D17*A17*B17/1000000000</f>
        <v>0.016777216</v>
      </c>
      <c r="H33" s="317">
        <f>D17*D17*F17*G17*A17*B17/1000000000</f>
        <v>0.603979776</v>
      </c>
      <c r="I33" s="316">
        <f>8*D17*A17*B17/1000000000</f>
        <v>0.016777216</v>
      </c>
      <c r="J33" s="319">
        <f>D17*D17*F17*G17*A17*B17/1000000000</f>
        <v>0.603979776</v>
      </c>
      <c r="K33" s="318">
        <f>8*D17*A17*B17/1000000000</f>
        <v>0.016777216</v>
      </c>
      <c r="L33" s="317">
        <f>D17*D17*F17*G17*A17*B17/1000000000</f>
        <v>0.603979776</v>
      </c>
      <c r="M33" s="316">
        <f>8*D17*A17*B17/1000000000</f>
        <v>0.016777216</v>
      </c>
      <c r="N33" s="317">
        <f>D17*D17*F17*G17*A17*B17/1000000000</f>
        <v>0.603979776</v>
      </c>
      <c r="O33" s="316">
        <f>8*D17*A17*B17/1000000000</f>
        <v>0.016777216</v>
      </c>
      <c r="P33" s="317">
        <f>E17*D17*P17*Q17*A17*B17/1000000000</f>
        <v>0.004194304</v>
      </c>
      <c r="Q33" s="307"/>
      <c r="R33" s="308">
        <f>SUM(B33,D33,F33,H33,J33,L33,N33,P33)</f>
        <v>3.665821696</v>
      </c>
      <c r="S33" s="309">
        <f>SUM(C33,E33,G33,I33,K33,M33,O33)</f>
        <v>0.117440512</v>
      </c>
      <c r="T33" s="310">
        <f>S33+2*R33</f>
        <v>7.449083904</v>
      </c>
      <c r="U33" s="38"/>
      <c r="V33" s="320" t="s">
        <v>244</v>
      </c>
      <c r="AB33" s="320"/>
    </row>
    <row r="34" ht="45.0" customHeight="1">
      <c r="A34" s="326"/>
      <c r="B34" s="327"/>
      <c r="C34" s="326"/>
      <c r="D34" s="327"/>
      <c r="E34" s="227"/>
      <c r="F34" s="327"/>
      <c r="G34" s="327"/>
      <c r="H34" s="327"/>
      <c r="I34" s="327"/>
      <c r="J34" s="227"/>
      <c r="K34" s="227"/>
      <c r="L34" s="327"/>
      <c r="M34" s="327"/>
      <c r="N34" s="327"/>
      <c r="O34" s="327"/>
      <c r="P34" s="327"/>
      <c r="Q34" s="327"/>
      <c r="R34" s="327"/>
      <c r="S34" s="327"/>
    </row>
    <row r="35" ht="45.0" customHeight="1">
      <c r="E35" s="328"/>
      <c r="J35" s="227"/>
      <c r="K35" s="328"/>
    </row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  <row r="51" ht="45.0" customHeight="1"/>
    <row r="52" ht="45.0" customHeight="1"/>
    <row r="53" ht="45.0" customHeight="1"/>
    <row r="54" ht="45.0" customHeight="1"/>
    <row r="55" ht="45.0" customHeight="1"/>
    <row r="56" ht="45.0" customHeight="1"/>
    <row r="57" ht="45.0" customHeight="1"/>
    <row r="58" ht="45.0" customHeight="1"/>
    <row r="59" ht="45.0" customHeight="1"/>
    <row r="60" ht="45.0" customHeight="1"/>
    <row r="61" ht="45.0" customHeight="1"/>
    <row r="62" ht="45.0" customHeight="1"/>
    <row r="63" ht="45.0" customHeight="1"/>
    <row r="64" ht="45.0" customHeight="1"/>
    <row r="65" ht="45.0" customHeight="1"/>
    <row r="66" ht="45.0" customHeight="1"/>
    <row r="67" ht="45.0" customHeight="1"/>
    <row r="68" ht="45.0" customHeight="1"/>
    <row r="69" ht="45.0" customHeight="1"/>
    <row r="70" ht="45.0" customHeight="1"/>
    <row r="71" ht="45.0" customHeight="1"/>
    <row r="72" ht="45.0" customHeight="1"/>
    <row r="73" ht="45.0" customHeight="1"/>
    <row r="74" ht="45.0" customHeight="1"/>
    <row r="75" ht="45.0" customHeight="1"/>
    <row r="76" ht="45.0" customHeight="1"/>
    <row r="77" ht="45.0" customHeight="1"/>
    <row r="78" ht="45.0" customHeight="1"/>
    <row r="79" ht="45.0" customHeight="1"/>
    <row r="80" ht="45.0" customHeight="1"/>
    <row r="81" ht="45.0" customHeight="1"/>
    <row r="82" ht="45.0" customHeight="1"/>
    <row r="83" ht="45.0" customHeight="1"/>
    <row r="84" ht="45.0" customHeight="1"/>
    <row r="85" ht="45.0" customHeight="1"/>
    <row r="86" ht="45.0" customHeight="1"/>
    <row r="87" ht="45.0" customHeight="1"/>
    <row r="88" ht="45.0" customHeight="1"/>
    <row r="89" ht="45.0" customHeight="1"/>
    <row r="90" ht="45.0" customHeight="1"/>
    <row r="91" ht="45.0" customHeight="1"/>
    <row r="92" ht="45.0" customHeight="1"/>
    <row r="93" ht="45.0" customHeight="1"/>
    <row r="94" ht="45.0" customHeight="1"/>
    <row r="95" ht="45.0" customHeight="1"/>
    <row r="96" ht="45.0" customHeight="1"/>
    <row r="97" ht="45.0" customHeight="1"/>
    <row r="98" ht="45.0" customHeight="1"/>
    <row r="99" ht="45.0" customHeight="1"/>
    <row r="100" ht="45.0" customHeight="1"/>
    <row r="101" ht="45.0" customHeight="1"/>
    <row r="102" ht="45.0" customHeight="1"/>
    <row r="103" ht="45.0" customHeight="1"/>
    <row r="104" ht="45.0" customHeight="1"/>
    <row r="105" ht="45.0" customHeight="1"/>
    <row r="106" ht="45.0" customHeight="1"/>
    <row r="107" ht="45.0" customHeight="1"/>
    <row r="108" ht="45.0" customHeight="1"/>
  </sheetData>
  <mergeCells count="39">
    <mergeCell ref="S10:U10"/>
    <mergeCell ref="V10:X10"/>
    <mergeCell ref="T17:Z17"/>
    <mergeCell ref="V25:AA25"/>
    <mergeCell ref="V33:AA33"/>
    <mergeCell ref="C11:D11"/>
    <mergeCell ref="F11:G11"/>
    <mergeCell ref="I11:J11"/>
    <mergeCell ref="L11:M11"/>
    <mergeCell ref="O11:P11"/>
    <mergeCell ref="R11:S11"/>
    <mergeCell ref="U11:V11"/>
    <mergeCell ref="A1:Z1"/>
    <mergeCell ref="A2:Z2"/>
    <mergeCell ref="A4:Z4"/>
    <mergeCell ref="A10:C10"/>
    <mergeCell ref="D10:F10"/>
    <mergeCell ref="G10:I10"/>
    <mergeCell ref="J10:L10"/>
    <mergeCell ref="M10:O10"/>
    <mergeCell ref="P10:R10"/>
    <mergeCell ref="B19:C19"/>
    <mergeCell ref="D19:E19"/>
    <mergeCell ref="F19:G19"/>
    <mergeCell ref="H19:I19"/>
    <mergeCell ref="J19:K19"/>
    <mergeCell ref="P19:Q19"/>
    <mergeCell ref="H27:I27"/>
    <mergeCell ref="J27:K27"/>
    <mergeCell ref="L27:M27"/>
    <mergeCell ref="N27:O27"/>
    <mergeCell ref="L19:M19"/>
    <mergeCell ref="N19:O19"/>
    <mergeCell ref="X19:AB19"/>
    <mergeCell ref="A26:AA26"/>
    <mergeCell ref="B27:C27"/>
    <mergeCell ref="D27:E27"/>
    <mergeCell ref="F27:G27"/>
    <mergeCell ref="P27:Q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8.88"/>
    <col customWidth="1" min="3" max="3" width="8.13"/>
    <col customWidth="1" min="4" max="4" width="18.88"/>
    <col customWidth="1" min="5" max="5" width="13.88"/>
    <col customWidth="1" min="6" max="6" width="18.88"/>
    <col customWidth="1" min="7" max="7" width="18.13"/>
    <col customWidth="1" min="8" max="8" width="17.13"/>
    <col customWidth="1" min="9" max="13" width="18.88"/>
    <col customWidth="1" min="14" max="14" width="15.0"/>
    <col customWidth="1" min="15" max="15" width="14.75"/>
    <col customWidth="1" min="16" max="16" width="20.63"/>
    <col customWidth="1" min="17" max="17" width="18.88"/>
    <col customWidth="1" min="18" max="18" width="17.13"/>
    <col customWidth="1" min="19" max="19" width="16.88"/>
    <col customWidth="1" min="20" max="20" width="19.13"/>
    <col customWidth="1" min="21" max="23" width="37.63"/>
  </cols>
  <sheetData>
    <row r="1" ht="48.0" customHeight="1">
      <c r="A1" s="329" t="s">
        <v>245</v>
      </c>
      <c r="B1" s="329" t="s">
        <v>246</v>
      </c>
      <c r="C1" s="329" t="s">
        <v>247</v>
      </c>
      <c r="D1" s="329" t="s">
        <v>248</v>
      </c>
      <c r="E1" s="329" t="s">
        <v>249</v>
      </c>
      <c r="F1" s="329" t="s">
        <v>250</v>
      </c>
      <c r="G1" s="330" t="s">
        <v>251</v>
      </c>
      <c r="H1" s="330" t="s">
        <v>252</v>
      </c>
      <c r="I1" s="329" t="s">
        <v>253</v>
      </c>
      <c r="J1" s="329" t="s">
        <v>254</v>
      </c>
      <c r="K1" s="329" t="s">
        <v>255</v>
      </c>
      <c r="L1" s="329" t="s">
        <v>256</v>
      </c>
      <c r="M1" s="329" t="s">
        <v>257</v>
      </c>
      <c r="N1" s="330" t="s">
        <v>258</v>
      </c>
      <c r="O1" s="329" t="s">
        <v>259</v>
      </c>
      <c r="P1" s="329" t="s">
        <v>260</v>
      </c>
      <c r="Q1" s="329" t="s">
        <v>261</v>
      </c>
      <c r="R1" s="330" t="s">
        <v>262</v>
      </c>
      <c r="S1" s="330" t="s">
        <v>263</v>
      </c>
      <c r="T1" s="329" t="s">
        <v>264</v>
      </c>
      <c r="U1" s="329" t="s">
        <v>265</v>
      </c>
      <c r="V1" s="329" t="s">
        <v>266</v>
      </c>
      <c r="W1" s="329" t="s">
        <v>267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</row>
    <row r="2">
      <c r="A2" s="332" t="s">
        <v>268</v>
      </c>
      <c r="B2" s="333">
        <v>2020.0</v>
      </c>
      <c r="C2" s="333"/>
      <c r="D2" s="334" t="s">
        <v>269</v>
      </c>
      <c r="E2" s="334"/>
      <c r="F2" s="334" t="s">
        <v>270</v>
      </c>
      <c r="G2" s="334" t="s">
        <v>271</v>
      </c>
      <c r="H2" s="334" t="s">
        <v>272</v>
      </c>
      <c r="I2" s="334" t="s">
        <v>273</v>
      </c>
      <c r="J2" s="334" t="s">
        <v>274</v>
      </c>
      <c r="K2" s="334" t="s">
        <v>275</v>
      </c>
      <c r="L2" s="334" t="s">
        <v>276</v>
      </c>
      <c r="M2" s="334" t="s">
        <v>277</v>
      </c>
      <c r="N2" s="334" t="s">
        <v>278</v>
      </c>
      <c r="O2" s="327" t="b">
        <v>0</v>
      </c>
      <c r="P2" s="334" t="s">
        <v>279</v>
      </c>
      <c r="Q2" s="334" t="s">
        <v>280</v>
      </c>
      <c r="R2" s="334" t="s">
        <v>272</v>
      </c>
      <c r="S2" s="334" t="s">
        <v>272</v>
      </c>
      <c r="T2" s="334" t="s">
        <v>272</v>
      </c>
      <c r="V2" s="335"/>
      <c r="W2" s="334" t="s">
        <v>281</v>
      </c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</row>
    <row r="3">
      <c r="C3" s="333"/>
      <c r="D3" s="334" t="s">
        <v>282</v>
      </c>
      <c r="E3" s="334"/>
      <c r="G3" s="334" t="s">
        <v>283</v>
      </c>
      <c r="N3" s="334" t="s">
        <v>284</v>
      </c>
      <c r="O3" s="327" t="b">
        <v>0</v>
      </c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</row>
    <row r="4">
      <c r="A4" s="332" t="s">
        <v>285</v>
      </c>
      <c r="B4" s="333">
        <v>2020.0</v>
      </c>
      <c r="C4" s="333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>
        <f>AVERAGE(1.3,1.23,2.25,2.18,4.05,3.85,3.45,3.18)</f>
        <v>2.68625</v>
      </c>
      <c r="O4" s="327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5"/>
      <c r="AI4" s="335"/>
    </row>
    <row r="5">
      <c r="A5" s="336" t="s">
        <v>286</v>
      </c>
      <c r="B5" s="333"/>
      <c r="C5" s="337" t="s">
        <v>287</v>
      </c>
      <c r="D5" s="334" t="s">
        <v>288</v>
      </c>
      <c r="E5" s="334" t="s">
        <v>289</v>
      </c>
      <c r="F5" s="334" t="s">
        <v>270</v>
      </c>
      <c r="G5" s="334" t="s">
        <v>272</v>
      </c>
      <c r="H5" s="334" t="s">
        <v>272</v>
      </c>
      <c r="I5" s="334" t="s">
        <v>290</v>
      </c>
      <c r="J5" s="334" t="s">
        <v>291</v>
      </c>
      <c r="K5" s="334" t="s">
        <v>292</v>
      </c>
      <c r="L5" s="334" t="s">
        <v>293</v>
      </c>
      <c r="M5" s="334" t="s">
        <v>277</v>
      </c>
      <c r="N5" s="334" t="s">
        <v>294</v>
      </c>
      <c r="O5" s="203" t="b">
        <v>0</v>
      </c>
      <c r="P5" s="335"/>
      <c r="Q5" s="334" t="s">
        <v>272</v>
      </c>
      <c r="R5" s="334" t="s">
        <v>272</v>
      </c>
      <c r="S5" s="334" t="s">
        <v>272</v>
      </c>
      <c r="T5" s="334" t="s">
        <v>272</v>
      </c>
      <c r="V5" s="335"/>
      <c r="W5" s="334" t="s">
        <v>295</v>
      </c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</row>
    <row r="6">
      <c r="B6" s="333">
        <v>2021.0</v>
      </c>
      <c r="D6" s="334" t="s">
        <v>296</v>
      </c>
      <c r="G6" s="334" t="s">
        <v>297</v>
      </c>
      <c r="N6" s="334" t="s">
        <v>298</v>
      </c>
      <c r="O6" s="203" t="b">
        <v>0</v>
      </c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</row>
    <row r="7">
      <c r="D7" s="334" t="s">
        <v>299</v>
      </c>
      <c r="G7" s="334" t="s">
        <v>300</v>
      </c>
      <c r="N7" s="334"/>
      <c r="O7" s="203" t="b">
        <v>0</v>
      </c>
      <c r="X7" s="335"/>
      <c r="Y7" s="335"/>
      <c r="Z7" s="335"/>
      <c r="AA7" s="335"/>
      <c r="AB7" s="335"/>
      <c r="AC7" s="335"/>
      <c r="AD7" s="335"/>
      <c r="AE7" s="335"/>
      <c r="AF7" s="335"/>
      <c r="AG7" s="335"/>
      <c r="AH7" s="335"/>
      <c r="AI7" s="335"/>
    </row>
    <row r="8">
      <c r="D8" s="334" t="s">
        <v>301</v>
      </c>
      <c r="G8" s="334" t="s">
        <v>302</v>
      </c>
      <c r="N8" s="334"/>
      <c r="O8" s="203" t="b">
        <v>0</v>
      </c>
      <c r="X8" s="335"/>
      <c r="Y8" s="335"/>
      <c r="Z8" s="335"/>
      <c r="AA8" s="335"/>
      <c r="AB8" s="335"/>
      <c r="AC8" s="335"/>
      <c r="AD8" s="335"/>
      <c r="AE8" s="335"/>
      <c r="AF8" s="335"/>
      <c r="AG8" s="335"/>
      <c r="AH8" s="335"/>
      <c r="AI8" s="335"/>
    </row>
    <row r="9">
      <c r="D9" s="334" t="s">
        <v>303</v>
      </c>
      <c r="G9" s="334" t="s">
        <v>304</v>
      </c>
      <c r="N9" s="334" t="s">
        <v>305</v>
      </c>
      <c r="O9" s="203" t="b">
        <v>0</v>
      </c>
      <c r="X9" s="335"/>
      <c r="Y9" s="335"/>
      <c r="Z9" s="335"/>
      <c r="AA9" s="335"/>
      <c r="AB9" s="335"/>
      <c r="AC9" s="335"/>
      <c r="AD9" s="335"/>
      <c r="AE9" s="335"/>
      <c r="AF9" s="335"/>
      <c r="AG9" s="335"/>
      <c r="AH9" s="335"/>
      <c r="AI9" s="335"/>
    </row>
    <row r="10">
      <c r="D10" s="334" t="s">
        <v>306</v>
      </c>
      <c r="G10" s="334" t="s">
        <v>307</v>
      </c>
      <c r="N10" s="334"/>
      <c r="O10" s="203" t="b">
        <v>0</v>
      </c>
      <c r="X10" s="335"/>
      <c r="Y10" s="335"/>
      <c r="Z10" s="335"/>
      <c r="AA10" s="335"/>
      <c r="AB10" s="335"/>
      <c r="AC10" s="335"/>
      <c r="AD10" s="335"/>
      <c r="AE10" s="335"/>
      <c r="AF10" s="335"/>
      <c r="AG10" s="335"/>
      <c r="AH10" s="335"/>
      <c r="AI10" s="335"/>
    </row>
    <row r="11">
      <c r="D11" s="334" t="s">
        <v>308</v>
      </c>
      <c r="G11" s="334" t="s">
        <v>304</v>
      </c>
      <c r="N11" s="334"/>
      <c r="O11" s="203" t="b">
        <v>0</v>
      </c>
      <c r="X11" s="335"/>
      <c r="Y11" s="335"/>
      <c r="Z11" s="335"/>
      <c r="AA11" s="335"/>
      <c r="AB11" s="335"/>
      <c r="AC11" s="335"/>
      <c r="AD11" s="335"/>
      <c r="AE11" s="335"/>
      <c r="AF11" s="335"/>
      <c r="AG11" s="335"/>
      <c r="AH11" s="335"/>
      <c r="AI11" s="335"/>
    </row>
    <row r="12">
      <c r="D12" s="334" t="s">
        <v>309</v>
      </c>
      <c r="G12" s="334" t="s">
        <v>304</v>
      </c>
      <c r="N12" s="334"/>
      <c r="O12" s="203" t="b">
        <v>0</v>
      </c>
      <c r="X12" s="335"/>
      <c r="Y12" s="335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</row>
    <row r="13">
      <c r="D13" s="334" t="s">
        <v>310</v>
      </c>
      <c r="G13" s="334" t="s">
        <v>311</v>
      </c>
      <c r="N13" s="334" t="s">
        <v>312</v>
      </c>
      <c r="O13" s="203" t="b">
        <v>0</v>
      </c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</row>
    <row r="14">
      <c r="D14" s="334" t="s">
        <v>313</v>
      </c>
      <c r="G14" s="334" t="s">
        <v>314</v>
      </c>
      <c r="N14" s="334"/>
      <c r="O14" s="203" t="b">
        <v>0</v>
      </c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</row>
    <row r="15">
      <c r="D15" s="334" t="s">
        <v>315</v>
      </c>
      <c r="G15" s="334" t="s">
        <v>316</v>
      </c>
      <c r="N15" s="334"/>
      <c r="O15" s="203" t="b">
        <v>0</v>
      </c>
      <c r="X15" s="335"/>
      <c r="Y15" s="335"/>
      <c r="Z15" s="335"/>
      <c r="AA15" s="335"/>
      <c r="AB15" s="335"/>
      <c r="AC15" s="335"/>
      <c r="AD15" s="335"/>
      <c r="AE15" s="335"/>
      <c r="AF15" s="335"/>
      <c r="AG15" s="335"/>
      <c r="AH15" s="335"/>
      <c r="AI15" s="335"/>
    </row>
    <row r="16">
      <c r="D16" s="334" t="s">
        <v>317</v>
      </c>
      <c r="G16" s="334" t="s">
        <v>318</v>
      </c>
      <c r="N16" s="334" t="s">
        <v>319</v>
      </c>
      <c r="O16" s="203" t="b">
        <v>0</v>
      </c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</row>
    <row r="17">
      <c r="D17" s="334" t="s">
        <v>320</v>
      </c>
      <c r="G17" s="334" t="s">
        <v>321</v>
      </c>
      <c r="N17" s="334"/>
      <c r="O17" s="203" t="b">
        <v>0</v>
      </c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</row>
    <row r="18">
      <c r="D18" s="334" t="s">
        <v>322</v>
      </c>
      <c r="G18" s="334" t="s">
        <v>321</v>
      </c>
      <c r="N18" s="334"/>
      <c r="O18" s="203" t="b">
        <v>0</v>
      </c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</row>
    <row r="19">
      <c r="D19" s="334" t="s">
        <v>323</v>
      </c>
      <c r="G19" s="334" t="s">
        <v>321</v>
      </c>
      <c r="N19" s="334"/>
      <c r="O19" s="203" t="b">
        <v>0</v>
      </c>
      <c r="X19" s="335"/>
      <c r="Y19" s="335"/>
      <c r="Z19" s="335"/>
      <c r="AA19" s="335"/>
      <c r="AB19" s="335"/>
      <c r="AC19" s="335"/>
      <c r="AD19" s="335"/>
      <c r="AE19" s="335"/>
      <c r="AF19" s="335"/>
      <c r="AG19" s="335"/>
      <c r="AH19" s="335"/>
      <c r="AI19" s="335"/>
    </row>
    <row r="20">
      <c r="D20" s="334" t="s">
        <v>324</v>
      </c>
      <c r="G20" s="334" t="s">
        <v>325</v>
      </c>
      <c r="N20" s="334"/>
      <c r="O20" s="203" t="b">
        <v>0</v>
      </c>
      <c r="X20" s="335"/>
      <c r="Y20" s="335"/>
      <c r="Z20" s="335"/>
      <c r="AA20" s="335"/>
      <c r="AB20" s="335"/>
      <c r="AC20" s="335"/>
      <c r="AD20" s="335"/>
      <c r="AE20" s="335"/>
      <c r="AF20" s="335"/>
      <c r="AG20" s="335"/>
      <c r="AH20" s="335"/>
      <c r="AI20" s="335"/>
    </row>
    <row r="21">
      <c r="D21" s="334" t="s">
        <v>326</v>
      </c>
      <c r="G21" s="334" t="s">
        <v>327</v>
      </c>
      <c r="N21" s="334"/>
      <c r="O21" s="203" t="b">
        <v>0</v>
      </c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</row>
    <row r="22">
      <c r="D22" s="334" t="s">
        <v>328</v>
      </c>
      <c r="G22" s="334" t="s">
        <v>327</v>
      </c>
      <c r="N22" s="334"/>
      <c r="O22" s="203" t="b">
        <v>0</v>
      </c>
      <c r="X22" s="335"/>
      <c r="Y22" s="335"/>
      <c r="Z22" s="335"/>
      <c r="AA22" s="335"/>
      <c r="AB22" s="335"/>
      <c r="AC22" s="335"/>
      <c r="AD22" s="335"/>
      <c r="AE22" s="335"/>
      <c r="AF22" s="335"/>
      <c r="AG22" s="335"/>
      <c r="AH22" s="335"/>
      <c r="AI22" s="335"/>
    </row>
    <row r="23">
      <c r="A23" s="332" t="s">
        <v>329</v>
      </c>
      <c r="B23" s="333">
        <v>2022.0</v>
      </c>
      <c r="C23" s="333"/>
      <c r="D23" s="335"/>
      <c r="E23" s="335"/>
      <c r="F23" s="335"/>
      <c r="G23" s="335"/>
      <c r="H23" s="335"/>
      <c r="I23" s="335"/>
      <c r="J23" s="335"/>
      <c r="K23" s="335"/>
      <c r="L23" s="335"/>
      <c r="M23" s="335"/>
      <c r="N23" s="335"/>
      <c r="O23" s="327"/>
      <c r="P23" s="335"/>
      <c r="Q23" s="335"/>
      <c r="R23" s="335"/>
      <c r="S23" s="335"/>
      <c r="T23" s="335"/>
      <c r="U23" s="335"/>
      <c r="V23" s="335"/>
      <c r="W23" s="334" t="s">
        <v>330</v>
      </c>
      <c r="X23" s="335"/>
      <c r="Y23" s="335"/>
      <c r="Z23" s="335"/>
      <c r="AA23" s="335"/>
      <c r="AB23" s="335"/>
      <c r="AC23" s="335"/>
      <c r="AD23" s="335"/>
      <c r="AE23" s="335"/>
      <c r="AF23" s="335"/>
      <c r="AG23" s="335"/>
      <c r="AH23" s="335"/>
      <c r="AI23" s="335"/>
    </row>
    <row r="24">
      <c r="A24" s="332" t="s">
        <v>331</v>
      </c>
      <c r="B24" s="333">
        <v>2022.0</v>
      </c>
      <c r="C24" s="333"/>
      <c r="D24" s="334" t="s">
        <v>332</v>
      </c>
      <c r="E24" s="334"/>
      <c r="F24" s="334" t="s">
        <v>270</v>
      </c>
      <c r="G24" s="334" t="s">
        <v>333</v>
      </c>
      <c r="H24" s="334" t="s">
        <v>334</v>
      </c>
      <c r="I24" s="334" t="s">
        <v>335</v>
      </c>
      <c r="J24" s="334" t="s">
        <v>336</v>
      </c>
      <c r="K24" s="334" t="s">
        <v>337</v>
      </c>
      <c r="L24" s="334" t="s">
        <v>293</v>
      </c>
      <c r="M24" s="334" t="s">
        <v>277</v>
      </c>
      <c r="N24" s="334" t="s">
        <v>338</v>
      </c>
      <c r="O24" s="327" t="b">
        <v>0</v>
      </c>
      <c r="P24" s="334" t="s">
        <v>339</v>
      </c>
      <c r="Q24" s="334" t="s">
        <v>280</v>
      </c>
      <c r="R24" s="334" t="s">
        <v>340</v>
      </c>
      <c r="S24" s="334" t="s">
        <v>272</v>
      </c>
      <c r="T24" s="334" t="s">
        <v>272</v>
      </c>
      <c r="U24" s="334" t="s">
        <v>341</v>
      </c>
      <c r="V24" s="334" t="s">
        <v>342</v>
      </c>
      <c r="W24" s="334" t="s">
        <v>343</v>
      </c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</row>
    <row r="25">
      <c r="C25" s="333"/>
      <c r="D25" s="334" t="s">
        <v>344</v>
      </c>
      <c r="E25" s="334"/>
      <c r="G25" s="334" t="s">
        <v>345</v>
      </c>
      <c r="H25" s="334" t="s">
        <v>346</v>
      </c>
      <c r="N25" s="334" t="s">
        <v>347</v>
      </c>
      <c r="O25" s="327" t="b">
        <v>0</v>
      </c>
      <c r="P25" s="334" t="s">
        <v>348</v>
      </c>
      <c r="R25" s="334" t="s">
        <v>349</v>
      </c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</row>
    <row r="26">
      <c r="C26" s="333"/>
      <c r="D26" s="334" t="s">
        <v>350</v>
      </c>
      <c r="E26" s="334"/>
      <c r="G26" s="334" t="s">
        <v>351</v>
      </c>
      <c r="H26" s="338" t="s">
        <v>352</v>
      </c>
      <c r="N26" s="334" t="s">
        <v>353</v>
      </c>
      <c r="O26" s="327" t="b">
        <v>0</v>
      </c>
      <c r="R26" s="334" t="s">
        <v>354</v>
      </c>
      <c r="X26" s="335"/>
      <c r="Y26" s="335"/>
      <c r="Z26" s="335"/>
      <c r="AA26" s="335"/>
      <c r="AB26" s="335"/>
      <c r="AC26" s="335"/>
      <c r="AD26" s="335"/>
      <c r="AE26" s="335"/>
      <c r="AF26" s="335"/>
      <c r="AG26" s="335"/>
      <c r="AH26" s="335"/>
      <c r="AI26" s="335"/>
    </row>
    <row r="27">
      <c r="A27" s="332" t="s">
        <v>355</v>
      </c>
      <c r="B27" s="333">
        <v>2023.0</v>
      </c>
      <c r="C27" s="333"/>
      <c r="D27" s="335"/>
      <c r="E27" s="335"/>
      <c r="F27" s="335"/>
      <c r="G27" s="335"/>
      <c r="H27" s="335"/>
      <c r="I27" s="335"/>
      <c r="J27" s="335"/>
      <c r="K27" s="335"/>
      <c r="L27" s="335"/>
      <c r="M27" s="335"/>
      <c r="N27" s="335"/>
      <c r="O27" s="327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  <c r="AA27" s="335"/>
      <c r="AB27" s="335"/>
      <c r="AC27" s="335"/>
      <c r="AD27" s="335"/>
      <c r="AE27" s="335"/>
      <c r="AF27" s="335"/>
      <c r="AG27" s="335"/>
      <c r="AH27" s="335"/>
      <c r="AI27" s="335"/>
    </row>
    <row r="28">
      <c r="A28" s="332" t="s">
        <v>356</v>
      </c>
      <c r="B28" s="333">
        <v>2024.0</v>
      </c>
      <c r="C28" s="333"/>
      <c r="D28" s="334" t="s">
        <v>357</v>
      </c>
      <c r="E28" s="334"/>
      <c r="F28" s="334" t="s">
        <v>270</v>
      </c>
      <c r="G28" s="334" t="s">
        <v>272</v>
      </c>
      <c r="H28" s="334" t="s">
        <v>272</v>
      </c>
      <c r="I28" s="334" t="s">
        <v>358</v>
      </c>
      <c r="J28" s="334"/>
      <c r="K28" s="334" t="s">
        <v>359</v>
      </c>
      <c r="L28" s="334" t="s">
        <v>360</v>
      </c>
      <c r="M28" s="334" t="s">
        <v>277</v>
      </c>
      <c r="N28" s="334" t="s">
        <v>361</v>
      </c>
      <c r="O28" s="327" t="b">
        <v>0</v>
      </c>
      <c r="P28" s="334" t="s">
        <v>362</v>
      </c>
      <c r="Q28" s="334" t="s">
        <v>280</v>
      </c>
      <c r="R28" s="334" t="s">
        <v>363</v>
      </c>
      <c r="S28" s="334" t="s">
        <v>272</v>
      </c>
      <c r="T28" s="334" t="s">
        <v>272</v>
      </c>
      <c r="U28" s="334" t="s">
        <v>364</v>
      </c>
      <c r="V28" s="334" t="s">
        <v>365</v>
      </c>
      <c r="W28" s="334" t="s">
        <v>366</v>
      </c>
      <c r="X28" s="335"/>
      <c r="Y28" s="335"/>
      <c r="Z28" s="335"/>
      <c r="AA28" s="335"/>
      <c r="AB28" s="335"/>
      <c r="AC28" s="335"/>
      <c r="AD28" s="335"/>
      <c r="AE28" s="335"/>
      <c r="AF28" s="335"/>
      <c r="AG28" s="335"/>
      <c r="AH28" s="335"/>
      <c r="AI28" s="335"/>
    </row>
    <row r="29">
      <c r="C29" s="333"/>
      <c r="D29" s="334" t="s">
        <v>367</v>
      </c>
      <c r="E29" s="334"/>
      <c r="N29" s="334" t="s">
        <v>368</v>
      </c>
      <c r="O29" s="327" t="b">
        <v>0</v>
      </c>
      <c r="R29" s="334" t="s">
        <v>369</v>
      </c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</row>
    <row r="30">
      <c r="C30" s="333"/>
      <c r="D30" s="334" t="s">
        <v>370</v>
      </c>
      <c r="E30" s="334"/>
      <c r="N30" s="334" t="s">
        <v>371</v>
      </c>
      <c r="O30" s="327" t="b">
        <v>0</v>
      </c>
      <c r="R30" s="334" t="s">
        <v>372</v>
      </c>
      <c r="X30" s="335"/>
      <c r="Y30" s="335"/>
      <c r="Z30" s="335"/>
      <c r="AA30" s="335"/>
      <c r="AB30" s="335"/>
      <c r="AC30" s="335"/>
      <c r="AD30" s="335"/>
      <c r="AE30" s="335"/>
      <c r="AF30" s="335"/>
      <c r="AG30" s="335"/>
      <c r="AH30" s="335"/>
      <c r="AI30" s="335"/>
    </row>
    <row r="31">
      <c r="A31" s="332" t="s">
        <v>373</v>
      </c>
      <c r="B31" s="333">
        <v>2025.0</v>
      </c>
      <c r="C31" s="333"/>
      <c r="D31" s="334" t="s">
        <v>374</v>
      </c>
      <c r="E31" s="334"/>
      <c r="F31" s="334" t="s">
        <v>375</v>
      </c>
      <c r="G31" s="334" t="s">
        <v>272</v>
      </c>
      <c r="H31" s="334" t="s">
        <v>272</v>
      </c>
      <c r="I31" s="246" t="s">
        <v>376</v>
      </c>
      <c r="J31" s="246"/>
      <c r="K31" s="246"/>
      <c r="L31" s="334" t="s">
        <v>377</v>
      </c>
      <c r="M31" s="334" t="s">
        <v>378</v>
      </c>
      <c r="N31" s="334" t="s">
        <v>379</v>
      </c>
      <c r="O31" s="203" t="b">
        <v>1</v>
      </c>
      <c r="P31" s="334" t="s">
        <v>380</v>
      </c>
      <c r="Q31" s="334" t="s">
        <v>381</v>
      </c>
      <c r="R31" s="334"/>
      <c r="S31" s="334" t="s">
        <v>382</v>
      </c>
      <c r="T31" s="334" t="s">
        <v>383</v>
      </c>
      <c r="U31" s="334" t="s">
        <v>384</v>
      </c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</row>
    <row r="32">
      <c r="C32" s="333"/>
      <c r="E32" s="334"/>
      <c r="O32" s="203" t="b">
        <v>1</v>
      </c>
      <c r="Q32" s="334" t="s">
        <v>385</v>
      </c>
      <c r="S32" s="334" t="s">
        <v>386</v>
      </c>
      <c r="T32" s="334" t="s">
        <v>387</v>
      </c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</row>
    <row r="33">
      <c r="C33" s="333"/>
      <c r="E33" s="334"/>
      <c r="O33" s="203" t="b">
        <v>1</v>
      </c>
      <c r="Q33" s="334" t="s">
        <v>388</v>
      </c>
      <c r="S33" s="334" t="s">
        <v>389</v>
      </c>
      <c r="T33" s="334" t="s">
        <v>390</v>
      </c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</row>
    <row r="34">
      <c r="A34" s="339"/>
      <c r="B34" s="339"/>
      <c r="C34" s="339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27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</row>
    <row r="37">
      <c r="A37" s="340" t="s">
        <v>391</v>
      </c>
      <c r="B37" s="341">
        <v>2020.0</v>
      </c>
      <c r="C37" s="342" t="s">
        <v>287</v>
      </c>
      <c r="D37" s="338" t="s">
        <v>392</v>
      </c>
      <c r="F37" s="341" t="s">
        <v>270</v>
      </c>
      <c r="H37" s="343"/>
      <c r="I37" s="246" t="s">
        <v>393</v>
      </c>
      <c r="J37" s="334" t="s">
        <v>274</v>
      </c>
      <c r="K37" s="338" t="s">
        <v>394</v>
      </c>
      <c r="L37" s="246" t="s">
        <v>293</v>
      </c>
      <c r="M37" s="338" t="s">
        <v>277</v>
      </c>
      <c r="N37" s="338" t="s">
        <v>395</v>
      </c>
      <c r="U37" s="338" t="s">
        <v>396</v>
      </c>
    </row>
    <row r="38">
      <c r="A38" s="340" t="s">
        <v>397</v>
      </c>
      <c r="B38" s="341">
        <v>2023.0</v>
      </c>
      <c r="C38" s="344" t="s">
        <v>287</v>
      </c>
      <c r="D38" s="246" t="s">
        <v>398</v>
      </c>
      <c r="E38" s="338" t="s">
        <v>399</v>
      </c>
      <c r="F38" s="341" t="s">
        <v>270</v>
      </c>
      <c r="G38" s="246" t="s">
        <v>272</v>
      </c>
      <c r="H38" s="246" t="s">
        <v>272</v>
      </c>
      <c r="I38" s="246" t="s">
        <v>376</v>
      </c>
      <c r="J38" s="334" t="s">
        <v>400</v>
      </c>
      <c r="K38" s="334" t="s">
        <v>401</v>
      </c>
      <c r="L38" s="334" t="s">
        <v>276</v>
      </c>
      <c r="M38" s="334" t="s">
        <v>402</v>
      </c>
      <c r="U38" s="338" t="s">
        <v>403</v>
      </c>
      <c r="V38" s="338" t="s">
        <v>404</v>
      </c>
    </row>
    <row r="39">
      <c r="A39" s="340" t="s">
        <v>405</v>
      </c>
      <c r="B39" s="341">
        <v>2024.0</v>
      </c>
      <c r="C39" s="344" t="s">
        <v>287</v>
      </c>
      <c r="D39" s="334" t="s">
        <v>406</v>
      </c>
      <c r="F39" s="341" t="s">
        <v>270</v>
      </c>
      <c r="I39" s="246" t="s">
        <v>376</v>
      </c>
      <c r="L39" s="334" t="s">
        <v>360</v>
      </c>
      <c r="U39" s="246" t="s">
        <v>407</v>
      </c>
      <c r="V39" s="246" t="s">
        <v>408</v>
      </c>
    </row>
    <row r="40">
      <c r="L40" s="334"/>
    </row>
    <row r="41">
      <c r="L41" s="334"/>
    </row>
    <row r="42">
      <c r="L42" s="334"/>
    </row>
    <row r="43">
      <c r="A43" s="337" t="s">
        <v>409</v>
      </c>
      <c r="B43" s="334">
        <v>2020.0</v>
      </c>
      <c r="C43" s="335"/>
      <c r="D43" s="334" t="s">
        <v>410</v>
      </c>
      <c r="E43" s="335"/>
      <c r="F43" s="334" t="s">
        <v>411</v>
      </c>
      <c r="G43" s="335"/>
      <c r="H43" s="335"/>
      <c r="I43" s="335"/>
      <c r="J43" s="335"/>
      <c r="K43" s="335"/>
      <c r="L43" s="334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</row>
    <row r="44">
      <c r="A44" s="337" t="s">
        <v>412</v>
      </c>
      <c r="B44" s="334">
        <v>2021.0</v>
      </c>
      <c r="C44" s="335"/>
      <c r="D44" s="334" t="s">
        <v>410</v>
      </c>
      <c r="E44" s="335"/>
      <c r="F44" s="341" t="s">
        <v>270</v>
      </c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</row>
    <row r="46">
      <c r="A46" s="345" t="s">
        <v>413</v>
      </c>
      <c r="B46" s="346">
        <v>2024.0</v>
      </c>
    </row>
  </sheetData>
  <mergeCells count="85">
    <mergeCell ref="I5:I22"/>
    <mergeCell ref="I24:I26"/>
    <mergeCell ref="C5:C22"/>
    <mergeCell ref="E5:E22"/>
    <mergeCell ref="F5:F22"/>
    <mergeCell ref="H5:H22"/>
    <mergeCell ref="J5:J22"/>
    <mergeCell ref="B6:B22"/>
    <mergeCell ref="F24:F26"/>
    <mergeCell ref="U28:U30"/>
    <mergeCell ref="V28:V30"/>
    <mergeCell ref="W28:W30"/>
    <mergeCell ref="K28:K30"/>
    <mergeCell ref="L28:L30"/>
    <mergeCell ref="M28:M30"/>
    <mergeCell ref="P28:P30"/>
    <mergeCell ref="Q28:Q30"/>
    <mergeCell ref="S28:S30"/>
    <mergeCell ref="T28:T30"/>
    <mergeCell ref="A28:A30"/>
    <mergeCell ref="B28:B30"/>
    <mergeCell ref="F28:F30"/>
    <mergeCell ref="G28:G30"/>
    <mergeCell ref="H28:H30"/>
    <mergeCell ref="I28:I30"/>
    <mergeCell ref="J28:J30"/>
    <mergeCell ref="A31:A33"/>
    <mergeCell ref="B31:B33"/>
    <mergeCell ref="D31:D33"/>
    <mergeCell ref="F31:F33"/>
    <mergeCell ref="G31:G33"/>
    <mergeCell ref="H31:H33"/>
    <mergeCell ref="I31:I33"/>
    <mergeCell ref="U31:U33"/>
    <mergeCell ref="V31:V33"/>
    <mergeCell ref="W31:W33"/>
    <mergeCell ref="J31:J33"/>
    <mergeCell ref="K31:K33"/>
    <mergeCell ref="L31:L33"/>
    <mergeCell ref="M31:M33"/>
    <mergeCell ref="N31:N33"/>
    <mergeCell ref="P31:P33"/>
    <mergeCell ref="R31:R33"/>
    <mergeCell ref="U2:U3"/>
    <mergeCell ref="V2:V3"/>
    <mergeCell ref="W2:W3"/>
    <mergeCell ref="L2:L3"/>
    <mergeCell ref="M2:M3"/>
    <mergeCell ref="P2:P3"/>
    <mergeCell ref="Q2:Q3"/>
    <mergeCell ref="R2:R3"/>
    <mergeCell ref="S2:S3"/>
    <mergeCell ref="T2:T3"/>
    <mergeCell ref="A2:A3"/>
    <mergeCell ref="B2:B3"/>
    <mergeCell ref="F2:F3"/>
    <mergeCell ref="H2:H3"/>
    <mergeCell ref="I2:I3"/>
    <mergeCell ref="J2:J3"/>
    <mergeCell ref="K2:K3"/>
    <mergeCell ref="T5:T22"/>
    <mergeCell ref="U5:U22"/>
    <mergeCell ref="V5:V22"/>
    <mergeCell ref="W5:W22"/>
    <mergeCell ref="K5:K22"/>
    <mergeCell ref="L5:L22"/>
    <mergeCell ref="M5:M22"/>
    <mergeCell ref="P5:P22"/>
    <mergeCell ref="Q5:Q22"/>
    <mergeCell ref="R5:R22"/>
    <mergeCell ref="S5:S22"/>
    <mergeCell ref="A5:A22"/>
    <mergeCell ref="A24:A26"/>
    <mergeCell ref="B24:B26"/>
    <mergeCell ref="U24:U26"/>
    <mergeCell ref="V24:V26"/>
    <mergeCell ref="W24:W26"/>
    <mergeCell ref="J24:J26"/>
    <mergeCell ref="K24:K26"/>
    <mergeCell ref="L24:L26"/>
    <mergeCell ref="M24:M26"/>
    <mergeCell ref="Q24:Q26"/>
    <mergeCell ref="S24:S26"/>
    <mergeCell ref="T24:T26"/>
    <mergeCell ref="P25:P26"/>
  </mergeCells>
  <hyperlinks>
    <hyperlink r:id="rId4" ref="A2"/>
    <hyperlink r:id="rId5" ref="A4"/>
    <hyperlink r:id="rId6" ref="A5"/>
    <hyperlink r:id="rId7" ref="C5"/>
    <hyperlink r:id="rId8" ref="A23"/>
    <hyperlink r:id="rId9" ref="A24"/>
    <hyperlink r:id="rId10" ref="A27"/>
    <hyperlink r:id="rId11" ref="A28"/>
    <hyperlink r:id="rId12" ref="A31"/>
    <hyperlink r:id="rId13" ref="A37"/>
    <hyperlink r:id="rId14" ref="C37"/>
    <hyperlink r:id="rId15" ref="A38"/>
    <hyperlink r:id="rId16" ref="C38"/>
    <hyperlink r:id="rId17" ref="A39"/>
    <hyperlink r:id="rId18" ref="C39"/>
    <hyperlink r:id="rId19" ref="A43"/>
    <hyperlink r:id="rId20" ref="A44"/>
    <hyperlink r:id="rId21" ref="A46"/>
  </hyperlinks>
  <drawing r:id="rId22"/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2.13"/>
    <col customWidth="1" min="4" max="4" width="7.63"/>
    <col customWidth="1" min="5" max="5" width="8.5"/>
    <col customWidth="1" min="6" max="6" width="9.38"/>
    <col customWidth="1" min="7" max="7" width="8.88"/>
    <col customWidth="1" min="8" max="15" width="7.63"/>
    <col customWidth="1" min="16" max="16" width="14.25"/>
    <col customWidth="1" min="17" max="17" width="7.63"/>
    <col customWidth="1" min="18" max="18" width="8.75"/>
    <col customWidth="1" min="19" max="20" width="9.5"/>
  </cols>
  <sheetData>
    <row r="1">
      <c r="A1" s="346" t="s">
        <v>414</v>
      </c>
      <c r="B1" s="347" t="s">
        <v>415</v>
      </c>
    </row>
    <row r="2">
      <c r="A2" s="346" t="s">
        <v>416</v>
      </c>
    </row>
    <row r="3">
      <c r="A3" s="346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</row>
    <row r="4">
      <c r="A4" s="348" t="s">
        <v>417</v>
      </c>
      <c r="B4" s="348" t="s">
        <v>0</v>
      </c>
      <c r="C4" s="348" t="s">
        <v>418</v>
      </c>
      <c r="D4" s="348" t="s">
        <v>419</v>
      </c>
      <c r="E4" s="348" t="s">
        <v>420</v>
      </c>
      <c r="F4" s="348" t="s">
        <v>421</v>
      </c>
      <c r="G4" s="348" t="s">
        <v>422</v>
      </c>
      <c r="H4" s="349" t="s">
        <v>423</v>
      </c>
      <c r="I4" s="3"/>
      <c r="J4" s="4"/>
      <c r="K4" s="349" t="s">
        <v>424</v>
      </c>
      <c r="L4" s="3"/>
      <c r="M4" s="4"/>
      <c r="P4" s="350" t="s">
        <v>425</v>
      </c>
      <c r="Q4" s="350" t="s">
        <v>9</v>
      </c>
      <c r="R4" s="350" t="s">
        <v>426</v>
      </c>
      <c r="S4" s="351" t="s">
        <v>427</v>
      </c>
      <c r="T4" s="4"/>
    </row>
    <row r="5">
      <c r="A5" s="352"/>
      <c r="B5" s="353"/>
      <c r="C5" s="353"/>
      <c r="D5" s="353"/>
      <c r="E5" s="353"/>
      <c r="F5" s="353"/>
      <c r="G5" s="353"/>
      <c r="H5" s="354" t="s">
        <v>428</v>
      </c>
      <c r="I5" s="355" t="s">
        <v>429</v>
      </c>
      <c r="J5" s="356" t="s">
        <v>430</v>
      </c>
      <c r="K5" s="357" t="s">
        <v>428</v>
      </c>
      <c r="L5" s="355" t="s">
        <v>429</v>
      </c>
      <c r="M5" s="356" t="s">
        <v>430</v>
      </c>
      <c r="P5" s="358"/>
      <c r="Q5" s="359"/>
      <c r="R5" s="360"/>
      <c r="S5" s="361" t="s">
        <v>428</v>
      </c>
      <c r="T5" s="362" t="s">
        <v>430</v>
      </c>
    </row>
    <row r="6">
      <c r="A6" s="363" t="s">
        <v>431</v>
      </c>
      <c r="B6" s="334" t="s">
        <v>432</v>
      </c>
      <c r="C6" s="364" t="s">
        <v>433</v>
      </c>
      <c r="D6" s="365">
        <v>27.59</v>
      </c>
      <c r="E6" s="365" t="s">
        <v>434</v>
      </c>
      <c r="F6" s="366">
        <v>131.73</v>
      </c>
      <c r="G6" s="366">
        <v>232.74</v>
      </c>
      <c r="H6" s="367">
        <f>AVERAGE(0.5937,1.1689,0.9269,0.4696)</f>
        <v>0.789775</v>
      </c>
      <c r="I6" s="368">
        <f>AVERAGE(1.0677,1.7381,1.3904,1.0803)</f>
        <v>1.319125</v>
      </c>
      <c r="J6" s="369">
        <f>AVERAGE(0.2159,0.3096,0.2206,0.2299)</f>
        <v>0.244</v>
      </c>
      <c r="K6" s="367">
        <f>AVERAGE(2.161,3.9044,3.0126,1.6919)</f>
        <v>2.692475</v>
      </c>
      <c r="L6" s="368">
        <f>AVERAGE(1.2197,1.6474,1.4371,1.0983)</f>
        <v>1.350625</v>
      </c>
      <c r="M6" s="369">
        <f>AVERAGE(0.2157,0.317,0.2278,0.1815)</f>
        <v>0.2355</v>
      </c>
      <c r="P6" s="370" t="s">
        <v>435</v>
      </c>
      <c r="Q6" s="371">
        <v>17.91</v>
      </c>
      <c r="R6" s="371" t="s">
        <v>436</v>
      </c>
      <c r="S6" s="372">
        <v>2.16</v>
      </c>
      <c r="T6" s="373">
        <v>0.26</v>
      </c>
    </row>
    <row r="7">
      <c r="A7" s="6"/>
      <c r="B7" s="334" t="s">
        <v>301</v>
      </c>
      <c r="C7" s="6"/>
      <c r="D7" s="365">
        <v>20.34</v>
      </c>
      <c r="E7" s="365" t="s">
        <v>437</v>
      </c>
      <c r="F7" s="366">
        <v>94.13</v>
      </c>
      <c r="G7" s="366">
        <v>195.13</v>
      </c>
      <c r="H7" s="367">
        <f>AVERAGE(0.7098,1.4323,1.1372,0.5259)</f>
        <v>0.9513</v>
      </c>
      <c r="I7" s="368">
        <f>AVERAGE(1.3926,2.6969,2.071,1.2601)</f>
        <v>1.85515</v>
      </c>
      <c r="J7" s="369">
        <f>AVERAGE(0.2757,0.4024,0.2822,0.2902)</f>
        <v>0.312625</v>
      </c>
      <c r="K7" s="367">
        <f>AVERAGE(2.588,4.9352,3.8414,1.9892)</f>
        <v>3.33845</v>
      </c>
      <c r="L7" s="368">
        <f>AVERAGE(1.5008,2.5926,2.1308,1.3566)</f>
        <v>1.8952</v>
      </c>
      <c r="M7" s="369">
        <f>AVERAGE(0.2711,0.3932,0.2804,0.2765)</f>
        <v>0.3053</v>
      </c>
      <c r="P7" s="370" t="s">
        <v>68</v>
      </c>
      <c r="Q7" s="371">
        <v>4.87</v>
      </c>
      <c r="R7" s="371" t="s">
        <v>438</v>
      </c>
      <c r="S7" s="372">
        <v>2.77</v>
      </c>
      <c r="T7" s="373">
        <v>0.44</v>
      </c>
    </row>
    <row r="8">
      <c r="A8" s="6"/>
      <c r="B8" s="374" t="s">
        <v>303</v>
      </c>
      <c r="C8" s="6"/>
      <c r="D8" s="375">
        <v>17.91</v>
      </c>
      <c r="E8" s="376" t="s">
        <v>436</v>
      </c>
      <c r="F8" s="377">
        <v>81.57</v>
      </c>
      <c r="G8" s="377">
        <v>166.85</v>
      </c>
      <c r="H8" s="378">
        <v>0.9608725</v>
      </c>
      <c r="I8" s="379">
        <v>1.6996285</v>
      </c>
      <c r="J8" s="380">
        <v>0.27535499999999996</v>
      </c>
      <c r="K8" s="378">
        <v>3.3658793576634825</v>
      </c>
      <c r="L8" s="379">
        <v>1.63527525</v>
      </c>
      <c r="M8" s="380">
        <v>0.24702625</v>
      </c>
      <c r="P8" s="370" t="s">
        <v>439</v>
      </c>
      <c r="Q8" s="371">
        <v>3.67</v>
      </c>
      <c r="R8" s="371" t="s">
        <v>440</v>
      </c>
      <c r="S8" s="372">
        <v>3.49</v>
      </c>
      <c r="T8" s="373">
        <v>0.84</v>
      </c>
    </row>
    <row r="9">
      <c r="A9" s="6"/>
      <c r="B9" s="381" t="s">
        <v>310</v>
      </c>
      <c r="C9" s="6"/>
      <c r="D9" s="365">
        <v>9.73</v>
      </c>
      <c r="E9" s="382" t="s">
        <v>441</v>
      </c>
      <c r="F9" s="383">
        <v>0.59</v>
      </c>
      <c r="G9" s="383">
        <v>187.24</v>
      </c>
      <c r="H9" s="384">
        <f>AVERAGE(0.8864,1.6184,1.3439,0.5456)</f>
        <v>1.098575</v>
      </c>
      <c r="I9" s="385">
        <f>AVERAGE(2.0938,2.9123,2.4929,1.3971)</f>
        <v>2.224025</v>
      </c>
      <c r="J9" s="386">
        <f>AVERAGE(0.369,0.4548,0.3633,0.3425)</f>
        <v>0.3824</v>
      </c>
      <c r="K9" s="384">
        <f>AVERAGE(3.3502,5.7068,4.6869,2.0439)</f>
        <v>3.94695</v>
      </c>
      <c r="L9" s="385">
        <f>AVERAGE(2.1317,2.7676,2.4307,1.4538)</f>
        <v>2.19595</v>
      </c>
      <c r="M9" s="386">
        <f>AVERAGE(0.3615,0.4219,0.3373,0.3227)</f>
        <v>0.36085</v>
      </c>
    </row>
    <row r="10">
      <c r="A10" s="6"/>
      <c r="B10" s="334" t="s">
        <v>315</v>
      </c>
      <c r="C10" s="6"/>
      <c r="D10" s="387">
        <v>6.1</v>
      </c>
      <c r="E10" s="365" t="s">
        <v>442</v>
      </c>
      <c r="F10" s="366">
        <v>0.37</v>
      </c>
      <c r="G10" s="366">
        <v>187.02</v>
      </c>
      <c r="H10" s="367">
        <f>AVERAGE(0.9028,1.6711,1.4237,0.5235)</f>
        <v>1.130275</v>
      </c>
      <c r="I10" s="368">
        <f>AVERAGE(1.9086,2.9599,2.5452,1.2461)</f>
        <v>2.16495</v>
      </c>
      <c r="J10" s="369">
        <f>AVERAGE(0.3531,0.5155,0.4558,0.3021)</f>
        <v>0.406625</v>
      </c>
      <c r="K10" s="367">
        <f>AVERAGE(3.4199,5.9213,4.9798,1.9573)</f>
        <v>4.069575</v>
      </c>
      <c r="L10" s="368">
        <f>AVERAGE(2.0087,2.8291,2.4334,1.2881)</f>
        <v>2.139825</v>
      </c>
      <c r="M10" s="369">
        <f>AVERAGE(0.355,0.5068,0.4276,0.2729)</f>
        <v>0.390575</v>
      </c>
    </row>
    <row r="11">
      <c r="A11" s="6"/>
      <c r="B11" s="388" t="s">
        <v>317</v>
      </c>
      <c r="C11" s="6"/>
      <c r="D11" s="389">
        <v>4.87</v>
      </c>
      <c r="E11" s="389" t="s">
        <v>438</v>
      </c>
      <c r="F11" s="390">
        <v>0.3</v>
      </c>
      <c r="G11" s="390">
        <v>153.39</v>
      </c>
      <c r="H11" s="391">
        <v>1.2019435</v>
      </c>
      <c r="I11" s="392">
        <v>2.07274925</v>
      </c>
      <c r="J11" s="393">
        <v>0.4567485</v>
      </c>
      <c r="K11" s="391">
        <v>4.33765</v>
      </c>
      <c r="L11" s="392">
        <v>2.15612975</v>
      </c>
      <c r="M11" s="393">
        <v>0.43439975</v>
      </c>
      <c r="P11" s="334"/>
      <c r="Q11" s="365"/>
      <c r="R11" s="365"/>
      <c r="S11" s="394"/>
      <c r="T11" s="394"/>
    </row>
    <row r="12">
      <c r="A12" s="6"/>
      <c r="B12" s="334" t="s">
        <v>324</v>
      </c>
      <c r="C12" s="6"/>
      <c r="D12" s="365">
        <v>3.68</v>
      </c>
      <c r="E12" s="365" t="s">
        <v>443</v>
      </c>
      <c r="F12" s="366">
        <v>0.22</v>
      </c>
      <c r="G12" s="366">
        <v>119.76</v>
      </c>
      <c r="H12" s="367">
        <f>AVERAGE(1.3709,2.2413,1.9985,1.0238)</f>
        <v>1.658625</v>
      </c>
      <c r="I12" s="368">
        <f>AVERAGE(4.1442,5.9666,5.5296,3.2453)</f>
        <v>4.721425</v>
      </c>
      <c r="J12" s="369">
        <f>AVERAGE(1.3718,1.4925,1.5462,1.6298)</f>
        <v>1.510075</v>
      </c>
      <c r="K12" s="367">
        <f>AVERAGE(5.2891,8.2616,7.3269,3.8803)</f>
        <v>6.189475</v>
      </c>
      <c r="L12" s="368">
        <f>AVERAGE(4.4316,6.0906,5.6866,3.3463)</f>
        <v>4.888775</v>
      </c>
      <c r="M12" s="369">
        <f>AVERAGE(1.4033,1.4849,1.5719,1.6049)</f>
        <v>1.51625</v>
      </c>
    </row>
    <row r="13">
      <c r="A13" s="6"/>
      <c r="B13" s="334" t="s">
        <v>326</v>
      </c>
      <c r="C13" s="6"/>
      <c r="D13" s="365">
        <v>3.68</v>
      </c>
      <c r="E13" s="365" t="s">
        <v>440</v>
      </c>
      <c r="F13" s="366">
        <v>0.22</v>
      </c>
      <c r="G13" s="366">
        <v>119.76</v>
      </c>
      <c r="H13" s="367">
        <f>AVERAGE(0.9653,1.7581,1.5168,0.607)</f>
        <v>1.2118</v>
      </c>
      <c r="I13" s="368">
        <f>AVERAGE(2.1986,3.4463,2.9108,1.4702)</f>
        <v>2.506475</v>
      </c>
      <c r="J13" s="369">
        <f>AVERAGE(0.4833,0.6681,0.5791,0.3984)</f>
        <v>0.532225</v>
      </c>
      <c r="K13" s="367">
        <f>AVERAGE(3.6798,6.2897,5.3676,2.2941)</f>
        <v>4.4078</v>
      </c>
      <c r="L13" s="368">
        <f>AVERAGE(2.3387,3.3309,2.7907,1.5357)</f>
        <v>2.499</v>
      </c>
      <c r="M13" s="369">
        <f>AVERAGE(0.4873,0.6963,0.5567,0.3876)</f>
        <v>0.531975</v>
      </c>
    </row>
    <row r="14">
      <c r="A14" s="15"/>
      <c r="B14" s="388" t="s">
        <v>328</v>
      </c>
      <c r="C14" s="15"/>
      <c r="D14" s="389">
        <v>3.67</v>
      </c>
      <c r="E14" s="389" t="s">
        <v>440</v>
      </c>
      <c r="F14" s="390">
        <v>0.22</v>
      </c>
      <c r="G14" s="390">
        <v>119.76</v>
      </c>
      <c r="H14" s="391">
        <f>AVERAGE(1.2113,2.0603,1.7991,0.8486)</f>
        <v>1.479825</v>
      </c>
      <c r="I14" s="392">
        <f>AVERAGE(2.2104,3.087,2.8045,1.7566)</f>
        <v>2.464625</v>
      </c>
      <c r="J14" s="393">
        <f>AVERAGE(0.8062,0.9524,0.8879,0.7513)</f>
        <v>0.84945</v>
      </c>
      <c r="K14" s="395">
        <f>AVERAGE(4.6667,7.5384,6.536,3.238)</f>
        <v>5.494775</v>
      </c>
      <c r="L14" s="392">
        <f>AVERAGE(2.4655,3.1891,2.9405,1.8575)</f>
        <v>2.61315</v>
      </c>
      <c r="M14" s="393">
        <f>AVERAGE(0.8028,0.935,0.8739,0.7613)</f>
        <v>0.84325</v>
      </c>
    </row>
    <row r="17">
      <c r="A17" s="346" t="s">
        <v>444</v>
      </c>
    </row>
    <row r="19">
      <c r="B19" s="348" t="s">
        <v>0</v>
      </c>
      <c r="D19" s="349" t="s">
        <v>445</v>
      </c>
      <c r="E19" s="3"/>
      <c r="F19" s="3"/>
      <c r="G19" s="4"/>
      <c r="H19" s="349" t="s">
        <v>446</v>
      </c>
      <c r="I19" s="3"/>
      <c r="J19" s="3"/>
      <c r="K19" s="4"/>
      <c r="L19" s="349" t="s">
        <v>447</v>
      </c>
      <c r="M19" s="3"/>
      <c r="N19" s="3"/>
      <c r="O19" s="4"/>
    </row>
    <row r="20">
      <c r="B20" s="259"/>
    </row>
    <row r="21">
      <c r="B21" s="334" t="s">
        <v>303</v>
      </c>
      <c r="D21" s="396">
        <f>(E23-E21)/E21*100</f>
        <v>-79.50865438</v>
      </c>
      <c r="E21" s="397">
        <f>D8</f>
        <v>17.91</v>
      </c>
      <c r="F21" s="398">
        <f>(E22-E21)/E21*100</f>
        <v>-72.80848688</v>
      </c>
      <c r="H21" s="396">
        <f>(I23-I21)/I21*100</f>
        <v>-99.72357843</v>
      </c>
      <c r="I21" s="365">
        <v>2.04E7</v>
      </c>
      <c r="J21" s="398">
        <f>(I22-I21)/I21*100</f>
        <v>-99.63323529</v>
      </c>
      <c r="L21" s="396">
        <f>(M23-M21)/M21*100</f>
        <v>-28.22295475</v>
      </c>
      <c r="M21" s="397">
        <f>G8</f>
        <v>166.85</v>
      </c>
      <c r="N21" s="398">
        <f>(M22-M21)/M21*100</f>
        <v>-8.067126161</v>
      </c>
    </row>
    <row r="22">
      <c r="B22" s="334" t="s">
        <v>317</v>
      </c>
      <c r="D22" s="399"/>
      <c r="E22" s="397">
        <f>D11</f>
        <v>4.87</v>
      </c>
      <c r="F22" s="400"/>
      <c r="G22" s="398">
        <f>(E23-E22)/E22*100</f>
        <v>-24.64065708</v>
      </c>
      <c r="H22" s="399"/>
      <c r="I22" s="365">
        <v>74820.0</v>
      </c>
      <c r="J22" s="400"/>
      <c r="K22" s="398">
        <f>(I23-I22)/I22*100</f>
        <v>-24.63245122</v>
      </c>
      <c r="L22" s="399"/>
      <c r="M22" s="397">
        <f>G11</f>
        <v>153.39</v>
      </c>
      <c r="N22" s="400"/>
      <c r="O22" s="398">
        <f>(M23-M22)/M22*100</f>
        <v>-21.92450616</v>
      </c>
    </row>
    <row r="23">
      <c r="B23" s="334" t="s">
        <v>328</v>
      </c>
      <c r="D23" s="401"/>
      <c r="E23" s="397">
        <f>D14</f>
        <v>3.67</v>
      </c>
      <c r="F23" s="402"/>
      <c r="G23" s="400"/>
      <c r="H23" s="401"/>
      <c r="I23" s="365">
        <v>56390.0</v>
      </c>
      <c r="J23" s="402"/>
      <c r="K23" s="400"/>
      <c r="L23" s="401"/>
      <c r="M23" s="397">
        <f>G14</f>
        <v>119.76</v>
      </c>
      <c r="N23" s="402"/>
      <c r="O23" s="400"/>
    </row>
    <row r="24">
      <c r="B24" s="334"/>
    </row>
    <row r="25">
      <c r="B25" s="348" t="s">
        <v>0</v>
      </c>
      <c r="D25" s="349" t="s">
        <v>448</v>
      </c>
      <c r="E25" s="3"/>
      <c r="F25" s="3"/>
      <c r="G25" s="4"/>
      <c r="H25" s="349" t="s">
        <v>449</v>
      </c>
      <c r="I25" s="3"/>
      <c r="J25" s="3"/>
      <c r="K25" s="4"/>
      <c r="L25" s="349" t="s">
        <v>450</v>
      </c>
      <c r="M25" s="3"/>
      <c r="N25" s="3"/>
      <c r="O25" s="4"/>
    </row>
    <row r="26">
      <c r="B26" s="259"/>
    </row>
    <row r="27">
      <c r="B27" s="334" t="s">
        <v>303</v>
      </c>
      <c r="D27" s="403">
        <f>(E29-E27)/E27*100</f>
        <v>61.19713423</v>
      </c>
      <c r="E27" s="394">
        <f>AVERAGE(H8,K8)</f>
        <v>2.163375929</v>
      </c>
      <c r="F27" s="404">
        <f>(E28-E27)/E27*100</f>
        <v>28.03122717</v>
      </c>
      <c r="H27" s="403">
        <f>(I29-I27)/I27*100</f>
        <v>52.26151579</v>
      </c>
      <c r="I27" s="387">
        <f>AVERAGE(I8,L8)</f>
        <v>1.667451875</v>
      </c>
      <c r="J27" s="404">
        <f>(I28-I27)/I27*100</f>
        <v>26.80662823</v>
      </c>
      <c r="L27" s="403">
        <f>(M29-M27)/M27*100</f>
        <v>224.0353669</v>
      </c>
      <c r="M27" s="394">
        <f>AVERAGE(J8,M8)</f>
        <v>0.261190625</v>
      </c>
      <c r="N27" s="404">
        <f>(M28-M27)/M27*100</f>
        <v>70.59346024</v>
      </c>
    </row>
    <row r="28">
      <c r="B28" s="334" t="s">
        <v>317</v>
      </c>
      <c r="D28" s="399"/>
      <c r="E28" s="394">
        <f>AVERAGE(H11,K11)</f>
        <v>2.76979675</v>
      </c>
      <c r="F28" s="400"/>
      <c r="G28" s="404">
        <f>(E29-E28)/E28*100</f>
        <v>25.90454516</v>
      </c>
      <c r="H28" s="399"/>
      <c r="I28" s="387">
        <f>AVERAGE(I11,L11)</f>
        <v>2.1144395</v>
      </c>
      <c r="J28" s="400"/>
      <c r="K28" s="404">
        <f>(I29-I28)/I28*100</f>
        <v>20.07378315</v>
      </c>
      <c r="L28" s="399"/>
      <c r="M28" s="394">
        <f>AVERAGE(J11,M11)</f>
        <v>0.445574125</v>
      </c>
      <c r="N28" s="400"/>
      <c r="O28" s="404">
        <f>(M29-M28)/M28*100</f>
        <v>89.94594895</v>
      </c>
    </row>
    <row r="29">
      <c r="B29" s="334" t="s">
        <v>328</v>
      </c>
      <c r="D29" s="401"/>
      <c r="E29" s="394">
        <f>AVERAGE(H14,K14)</f>
        <v>3.4873</v>
      </c>
      <c r="F29" s="405"/>
      <c r="G29" s="400"/>
      <c r="H29" s="401"/>
      <c r="I29" s="387">
        <f>AVERAGE(I14,L14)</f>
        <v>2.5388875</v>
      </c>
      <c r="J29" s="405"/>
      <c r="K29" s="400"/>
      <c r="L29" s="401"/>
      <c r="M29" s="394">
        <f>AVERAGE(J14,M14)</f>
        <v>0.84635</v>
      </c>
      <c r="N29" s="405"/>
      <c r="O29" s="400"/>
    </row>
  </sheetData>
  <mergeCells count="32">
    <mergeCell ref="B1:P1"/>
    <mergeCell ref="A2:P2"/>
    <mergeCell ref="H4:J4"/>
    <mergeCell ref="K4:M4"/>
    <mergeCell ref="S4:T4"/>
    <mergeCell ref="A6:A14"/>
    <mergeCell ref="C6:C14"/>
    <mergeCell ref="J21:J22"/>
    <mergeCell ref="L21:L23"/>
    <mergeCell ref="K22:K23"/>
    <mergeCell ref="A17:D17"/>
    <mergeCell ref="D19:G19"/>
    <mergeCell ref="H19:K19"/>
    <mergeCell ref="L19:O19"/>
    <mergeCell ref="D21:D23"/>
    <mergeCell ref="F21:F22"/>
    <mergeCell ref="N21:N22"/>
    <mergeCell ref="O22:O23"/>
    <mergeCell ref="H27:H29"/>
    <mergeCell ref="J27:J28"/>
    <mergeCell ref="L27:L29"/>
    <mergeCell ref="N27:N28"/>
    <mergeCell ref="G28:G29"/>
    <mergeCell ref="K28:K29"/>
    <mergeCell ref="H21:H23"/>
    <mergeCell ref="G22:G23"/>
    <mergeCell ref="D25:G25"/>
    <mergeCell ref="H25:K25"/>
    <mergeCell ref="L25:O25"/>
    <mergeCell ref="D27:D29"/>
    <mergeCell ref="F27:F28"/>
    <mergeCell ref="O28:O29"/>
  </mergeCells>
  <hyperlinks>
    <hyperlink r:id="rId1" ref="A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6" max="26" width="15.75"/>
  </cols>
  <sheetData>
    <row r="1">
      <c r="A1" s="5"/>
      <c r="B1" s="406" t="s">
        <v>451</v>
      </c>
      <c r="C1" s="406" t="s">
        <v>254</v>
      </c>
      <c r="D1" s="406" t="s">
        <v>452</v>
      </c>
      <c r="E1" s="406" t="s">
        <v>453</v>
      </c>
      <c r="F1" s="406" t="s">
        <v>454</v>
      </c>
      <c r="G1" s="406" t="s">
        <v>455</v>
      </c>
      <c r="H1" s="406" t="s">
        <v>456</v>
      </c>
      <c r="Z1" s="5"/>
      <c r="AA1" s="5"/>
      <c r="AB1" s="5"/>
      <c r="AC1" s="5"/>
      <c r="AD1" s="5"/>
      <c r="AE1" s="5"/>
      <c r="AF1" s="5"/>
    </row>
    <row r="2">
      <c r="A2" s="407" t="s">
        <v>457</v>
      </c>
      <c r="B2" s="327"/>
      <c r="H2" s="407" t="s">
        <v>458</v>
      </c>
      <c r="J2" s="407" t="s">
        <v>459</v>
      </c>
      <c r="L2" s="407" t="s">
        <v>460</v>
      </c>
      <c r="N2" s="407" t="s">
        <v>461</v>
      </c>
      <c r="P2" s="407" t="s">
        <v>462</v>
      </c>
      <c r="R2" s="407" t="s">
        <v>463</v>
      </c>
      <c r="T2" s="407" t="s">
        <v>464</v>
      </c>
      <c r="V2" s="407" t="s">
        <v>465</v>
      </c>
      <c r="X2" s="407" t="s">
        <v>466</v>
      </c>
      <c r="Z2" s="327"/>
      <c r="AA2" s="327"/>
      <c r="AB2" s="327"/>
      <c r="AC2" s="327"/>
      <c r="AD2" s="327"/>
      <c r="AE2" s="327"/>
      <c r="AF2" s="327"/>
    </row>
    <row r="3">
      <c r="H3" s="407" t="s">
        <v>467</v>
      </c>
      <c r="I3" s="407" t="s">
        <v>468</v>
      </c>
      <c r="J3" s="407" t="s">
        <v>467</v>
      </c>
      <c r="K3" s="407" t="s">
        <v>468</v>
      </c>
      <c r="L3" s="407" t="s">
        <v>467</v>
      </c>
      <c r="M3" s="407" t="s">
        <v>468</v>
      </c>
      <c r="N3" s="407" t="s">
        <v>467</v>
      </c>
      <c r="O3" s="407" t="s">
        <v>468</v>
      </c>
      <c r="P3" s="407" t="s">
        <v>467</v>
      </c>
      <c r="Q3" s="407" t="s">
        <v>468</v>
      </c>
      <c r="R3" s="407" t="s">
        <v>467</v>
      </c>
      <c r="S3" s="407" t="s">
        <v>468</v>
      </c>
      <c r="T3" s="407" t="s">
        <v>467</v>
      </c>
      <c r="U3" s="407" t="s">
        <v>468</v>
      </c>
      <c r="V3" s="407" t="s">
        <v>467</v>
      </c>
      <c r="W3" s="407" t="s">
        <v>468</v>
      </c>
      <c r="X3" s="407" t="s">
        <v>467</v>
      </c>
      <c r="Y3" s="407" t="s">
        <v>468</v>
      </c>
      <c r="Z3" s="408" t="s">
        <v>469</v>
      </c>
      <c r="AA3" s="408" t="s">
        <v>470</v>
      </c>
      <c r="AB3" s="408" t="s">
        <v>471</v>
      </c>
      <c r="AC3" s="327"/>
      <c r="AD3" s="327"/>
      <c r="AE3" s="327"/>
      <c r="AF3" s="327"/>
    </row>
    <row r="4">
      <c r="A4" s="407" t="s">
        <v>472</v>
      </c>
      <c r="B4" s="409" t="s">
        <v>473</v>
      </c>
      <c r="C4" s="327" t="b">
        <v>0</v>
      </c>
      <c r="D4" s="203" t="s">
        <v>474</v>
      </c>
      <c r="E4" s="203">
        <v>45.0</v>
      </c>
      <c r="F4" s="203" t="s">
        <v>475</v>
      </c>
      <c r="G4" s="203" t="s">
        <v>36</v>
      </c>
      <c r="H4" s="203">
        <f>500000*9</f>
        <v>4500000</v>
      </c>
      <c r="I4" s="410">
        <f>SUM(33,22,15,70,39,25,30,16,36)</f>
        <v>286</v>
      </c>
      <c r="J4" s="327">
        <f>500000*20</f>
        <v>10000000</v>
      </c>
      <c r="K4" s="410">
        <f>SUM(20,12,8,7,10,5,18,29,8,5,14,23,18,23,25,11,22,7,15,8)</f>
        <v>288</v>
      </c>
      <c r="L4" s="327">
        <f>500000*12</f>
        <v>6000000</v>
      </c>
      <c r="M4" s="410">
        <f>SUM(13,10,15,15,19,13,4,4,7,6,15,46)</f>
        <v>167</v>
      </c>
      <c r="N4" s="327">
        <f>500000*13</f>
        <v>6500000</v>
      </c>
      <c r="O4" s="410">
        <f>SUM(18,19,16,10,150,162,15,20,17,12,12,10,15)</f>
        <v>476</v>
      </c>
      <c r="P4" s="327">
        <f>500000*20</f>
        <v>10000000</v>
      </c>
      <c r="Q4" s="410">
        <f>SUM(38,28,42,16,47,47,16,28,24,71,36,19,40,34,15,17,22,30,25,15)</f>
        <v>610</v>
      </c>
      <c r="R4" s="327">
        <f>500000*11</f>
        <v>5500000</v>
      </c>
      <c r="S4" s="410">
        <f>SUM(44,28,16,26,20,20,20,23,20,15,18)</f>
        <v>250</v>
      </c>
      <c r="T4" s="327">
        <f>500000*18</f>
        <v>9000000</v>
      </c>
      <c r="U4" s="410">
        <f>SUM(59,35,48,27,21,50,23,31,33,25,36,36,12,24,33,29,25,33)</f>
        <v>580</v>
      </c>
      <c r="V4" s="327">
        <f>500000*20</f>
        <v>10000000</v>
      </c>
      <c r="W4" s="410">
        <f>SUM(36,31,59,41,21,97,20,18,29,39,17,45,556,39,39,51,72,33,31,28,32,37,54,29)</f>
        <v>1454</v>
      </c>
      <c r="X4" s="327">
        <f>500000*13</f>
        <v>6500000</v>
      </c>
      <c r="Y4" s="410">
        <f>SUM(44,20,23,29,35,323,47,42,27,36,36,19,33)</f>
        <v>714</v>
      </c>
      <c r="Z4" s="411">
        <f>SUM(H4,J4,L4,N4,P4,R4,T4,V4,X4)/1000000</f>
        <v>68</v>
      </c>
      <c r="AA4" s="411">
        <f>SUM(I4,K4,M4,O4,Q4,S4,U4,W4,Y4)</f>
        <v>4825</v>
      </c>
      <c r="AB4" s="412">
        <f>AA4*(1/E4)</f>
        <v>107.2222222</v>
      </c>
      <c r="AC4" s="327"/>
      <c r="AD4" s="327"/>
      <c r="AE4" s="327"/>
      <c r="AF4" s="327"/>
    </row>
    <row r="5">
      <c r="A5" s="413"/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411"/>
      <c r="AA5" s="411"/>
      <c r="AB5" s="411"/>
      <c r="AC5" s="327"/>
      <c r="AD5" s="327"/>
      <c r="AE5" s="327"/>
      <c r="AF5" s="327"/>
    </row>
    <row r="6">
      <c r="A6" s="407" t="s">
        <v>476</v>
      </c>
      <c r="B6" s="327"/>
      <c r="H6" s="407" t="s">
        <v>477</v>
      </c>
      <c r="J6" s="407" t="s">
        <v>478</v>
      </c>
      <c r="L6" s="407" t="s">
        <v>479</v>
      </c>
      <c r="N6" s="407" t="s">
        <v>480</v>
      </c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411"/>
      <c r="AA6" s="411"/>
      <c r="AB6" s="411"/>
      <c r="AC6" s="327"/>
      <c r="AD6" s="327"/>
      <c r="AE6" s="327"/>
      <c r="AF6" s="327"/>
    </row>
    <row r="7">
      <c r="H7" s="407" t="s">
        <v>467</v>
      </c>
      <c r="I7" s="407" t="s">
        <v>468</v>
      </c>
      <c r="J7" s="407" t="s">
        <v>467</v>
      </c>
      <c r="K7" s="407" t="s">
        <v>468</v>
      </c>
      <c r="L7" s="407" t="s">
        <v>467</v>
      </c>
      <c r="M7" s="407" t="s">
        <v>468</v>
      </c>
      <c r="N7" s="407" t="s">
        <v>467</v>
      </c>
      <c r="O7" s="407" t="s">
        <v>468</v>
      </c>
      <c r="P7" s="327"/>
      <c r="Q7" s="327"/>
      <c r="R7" s="327"/>
      <c r="S7" s="327"/>
      <c r="T7" s="327"/>
      <c r="U7" s="327"/>
      <c r="V7" s="327"/>
      <c r="W7" s="327"/>
      <c r="X7" s="327"/>
      <c r="Y7" s="327"/>
      <c r="Z7" s="411"/>
      <c r="AA7" s="411"/>
      <c r="AB7" s="411"/>
      <c r="AC7" s="327"/>
      <c r="AD7" s="327"/>
      <c r="AE7" s="327"/>
      <c r="AF7" s="327"/>
    </row>
    <row r="8">
      <c r="A8" s="407" t="s">
        <v>293</v>
      </c>
      <c r="B8" s="409" t="s">
        <v>473</v>
      </c>
      <c r="C8" s="203" t="b">
        <v>1</v>
      </c>
      <c r="D8" s="203" t="s">
        <v>481</v>
      </c>
      <c r="E8" s="203">
        <v>45.0</v>
      </c>
      <c r="F8" s="203" t="s">
        <v>475</v>
      </c>
      <c r="G8" s="203" t="s">
        <v>38</v>
      </c>
      <c r="H8" s="203">
        <v>1.0717746E7</v>
      </c>
      <c r="I8" s="203">
        <v>2206.0</v>
      </c>
      <c r="J8" s="203">
        <v>1.9447381E7</v>
      </c>
      <c r="K8" s="203">
        <v>2665.0</v>
      </c>
      <c r="L8" s="203">
        <v>1.8390617E7</v>
      </c>
      <c r="M8" s="203">
        <v>2952.0</v>
      </c>
      <c r="N8" s="203">
        <v>4569941.0</v>
      </c>
      <c r="O8" s="203">
        <v>820.0</v>
      </c>
      <c r="P8" s="327"/>
      <c r="Q8" s="327"/>
      <c r="R8" s="327"/>
      <c r="S8" s="327"/>
      <c r="T8" s="327"/>
      <c r="U8" s="327"/>
      <c r="V8" s="327"/>
      <c r="W8" s="327"/>
      <c r="X8" s="327"/>
      <c r="Y8" s="327"/>
      <c r="Z8" s="412">
        <f>SUM(N8,L8,J8,H8)/1000000</f>
        <v>53.125685</v>
      </c>
      <c r="AA8" s="411">
        <f>SUM(I8,K8,M8,O8)</f>
        <v>8643</v>
      </c>
      <c r="AB8" s="412">
        <f>AA8*(1/E8)</f>
        <v>192.0666667</v>
      </c>
      <c r="AC8" s="327"/>
      <c r="AD8" s="327"/>
      <c r="AE8" s="327"/>
      <c r="AF8" s="327"/>
    </row>
    <row r="9">
      <c r="A9" s="414" t="s">
        <v>482</v>
      </c>
      <c r="B9" s="346" t="s">
        <v>467</v>
      </c>
    </row>
    <row r="10">
      <c r="B10" s="346" t="s">
        <v>483</v>
      </c>
    </row>
    <row r="11">
      <c r="B11" s="346" t="s">
        <v>484</v>
      </c>
    </row>
    <row r="12">
      <c r="B12" s="346" t="s">
        <v>485</v>
      </c>
    </row>
    <row r="13">
      <c r="B13" s="346" t="s">
        <v>486</v>
      </c>
    </row>
    <row r="15">
      <c r="B15" s="345" t="s">
        <v>487</v>
      </c>
    </row>
  </sheetData>
  <mergeCells count="18">
    <mergeCell ref="P2:Q2"/>
    <mergeCell ref="R2:S2"/>
    <mergeCell ref="T2:U2"/>
    <mergeCell ref="V2:W2"/>
    <mergeCell ref="A2:A3"/>
    <mergeCell ref="A6:A7"/>
    <mergeCell ref="B6:G7"/>
    <mergeCell ref="H6:I6"/>
    <mergeCell ref="J6:K6"/>
    <mergeCell ref="L6:M6"/>
    <mergeCell ref="N6:O6"/>
    <mergeCell ref="H1:Y1"/>
    <mergeCell ref="B2:G3"/>
    <mergeCell ref="H2:I2"/>
    <mergeCell ref="J2:K2"/>
    <mergeCell ref="L2:M2"/>
    <mergeCell ref="N2:O2"/>
    <mergeCell ref="X2:Y2"/>
  </mergeCells>
  <hyperlinks>
    <hyperlink r:id="rId1" ref="B4"/>
    <hyperlink r:id="rId2" ref="B8"/>
    <hyperlink r:id="rId3" ref="B15"/>
  </hyperlinks>
  <drawing r:id="rId4"/>
</worksheet>
</file>