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featurePropertyBag/featurePropertyBag.xml" ContentType="application/vnd.ms-excel.featurepropertybag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1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18556617B05CC3E9/Documenti/Documenti Lavoro/SNN for ULP Event-based Optical Flow Estimation/"/>
    </mc:Choice>
  </mc:AlternateContent>
  <xr:revisionPtr revIDLastSave="6331" documentId="11_E60897F41BE170836B02CE998F75CCDC64E183C8" xr6:coauthVersionLast="47" xr6:coauthVersionMax="47" xr10:uidLastSave="{C022666A-D267-4CC5-AB60-1F7EF839DB8F}"/>
  <bookViews>
    <workbookView minimized="1" xWindow="2910" yWindow="2910" windowWidth="16200" windowHeight="8835" activeTab="1" xr2:uid="{00000000-000D-0000-FFFF-FFFF00000000}"/>
  </bookViews>
  <sheets>
    <sheet name="(NEW) ERROR EVALUATION" sheetId="5" r:id="rId1"/>
    <sheet name="DEEPLOY TESTING" sheetId="3" r:id="rId2"/>
    <sheet name="GAPflow TESTING" sheetId="6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I27" i="6" l="1"/>
  <c r="AH27" i="6"/>
  <c r="AI23" i="6"/>
  <c r="AH23" i="6"/>
  <c r="AI10" i="6"/>
  <c r="AH10" i="6"/>
  <c r="AI6" i="6"/>
  <c r="AH6" i="6"/>
  <c r="AE6" i="6"/>
  <c r="AD6" i="6"/>
  <c r="AC6" i="6"/>
  <c r="Q6" i="6"/>
  <c r="P6" i="6"/>
  <c r="O6" i="6"/>
  <c r="Q10" i="6"/>
  <c r="P10" i="6"/>
  <c r="O10" i="6"/>
  <c r="Q23" i="6"/>
  <c r="P23" i="6"/>
  <c r="O23" i="6"/>
  <c r="Q27" i="6"/>
  <c r="P27" i="6"/>
  <c r="O27" i="6"/>
  <c r="AE23" i="6"/>
  <c r="AD23" i="6"/>
  <c r="AC23" i="6"/>
  <c r="AH38" i="6"/>
  <c r="AG38" i="6"/>
  <c r="AE38" i="6"/>
  <c r="AD38" i="6"/>
  <c r="AC38" i="6"/>
  <c r="Q38" i="6"/>
  <c r="P38" i="6"/>
  <c r="O38" i="6"/>
  <c r="AH37" i="6"/>
  <c r="AG37" i="6"/>
  <c r="AE37" i="6"/>
  <c r="AD37" i="6"/>
  <c r="AC37" i="6"/>
  <c r="Q37" i="6"/>
  <c r="P37" i="6"/>
  <c r="O37" i="6"/>
  <c r="AH36" i="6"/>
  <c r="AG36" i="6"/>
  <c r="AE36" i="6"/>
  <c r="AD36" i="6"/>
  <c r="AC36" i="6"/>
  <c r="Q36" i="6"/>
  <c r="P36" i="6"/>
  <c r="O36" i="6"/>
  <c r="AH35" i="6"/>
  <c r="AG35" i="6"/>
  <c r="AE35" i="6"/>
  <c r="AD35" i="6"/>
  <c r="AC35" i="6"/>
  <c r="Q35" i="6"/>
  <c r="P35" i="6"/>
  <c r="O35" i="6"/>
  <c r="AH34" i="6"/>
  <c r="AG34" i="6"/>
  <c r="AE34" i="6"/>
  <c r="AD34" i="6"/>
  <c r="AC34" i="6"/>
  <c r="Q34" i="6"/>
  <c r="P34" i="6"/>
  <c r="O34" i="6"/>
  <c r="AH33" i="6"/>
  <c r="AG33" i="6"/>
  <c r="AE33" i="6"/>
  <c r="AD33" i="6"/>
  <c r="AC33" i="6"/>
  <c r="Q33" i="6"/>
  <c r="P33" i="6"/>
  <c r="O33" i="6"/>
  <c r="AH32" i="6"/>
  <c r="AG32" i="6"/>
  <c r="AE32" i="6"/>
  <c r="AD32" i="6"/>
  <c r="AC32" i="6"/>
  <c r="Q32" i="6"/>
  <c r="P32" i="6"/>
  <c r="O32" i="6"/>
  <c r="AH31" i="6"/>
  <c r="AG31" i="6"/>
  <c r="AE31" i="6"/>
  <c r="AD31" i="6"/>
  <c r="AC31" i="6"/>
  <c r="Q31" i="6"/>
  <c r="P31" i="6"/>
  <c r="O31" i="6"/>
  <c r="AH30" i="6"/>
  <c r="AG30" i="6"/>
  <c r="AE30" i="6"/>
  <c r="AD30" i="6"/>
  <c r="AC30" i="6"/>
  <c r="Q30" i="6"/>
  <c r="P30" i="6"/>
  <c r="O30" i="6"/>
  <c r="AH29" i="6"/>
  <c r="AG29" i="6"/>
  <c r="AE29" i="6"/>
  <c r="AD29" i="6"/>
  <c r="AC29" i="6"/>
  <c r="Q29" i="6"/>
  <c r="P29" i="6"/>
  <c r="O29" i="6"/>
  <c r="AH28" i="6"/>
  <c r="AG28" i="6"/>
  <c r="AE28" i="6"/>
  <c r="AD28" i="6"/>
  <c r="AC28" i="6"/>
  <c r="Q28" i="6"/>
  <c r="P28" i="6"/>
  <c r="O28" i="6"/>
  <c r="AG27" i="6"/>
  <c r="AE27" i="6"/>
  <c r="AD27" i="6"/>
  <c r="AC27" i="6"/>
  <c r="AH26" i="6"/>
  <c r="AG26" i="6"/>
  <c r="AE26" i="6"/>
  <c r="AD26" i="6"/>
  <c r="AC26" i="6"/>
  <c r="Q26" i="6"/>
  <c r="P26" i="6"/>
  <c r="O26" i="6"/>
  <c r="AH25" i="6"/>
  <c r="AG25" i="6"/>
  <c r="AE25" i="6"/>
  <c r="AD25" i="6"/>
  <c r="AC25" i="6"/>
  <c r="Q25" i="6"/>
  <c r="P25" i="6"/>
  <c r="O25" i="6"/>
  <c r="AH24" i="6"/>
  <c r="AG24" i="6"/>
  <c r="AE24" i="6"/>
  <c r="AD24" i="6"/>
  <c r="AC24" i="6"/>
  <c r="Q24" i="6"/>
  <c r="P24" i="6"/>
  <c r="O24" i="6"/>
  <c r="AG23" i="6"/>
  <c r="AH21" i="6"/>
  <c r="AG21" i="6"/>
  <c r="AE21" i="6"/>
  <c r="AD21" i="6"/>
  <c r="AC21" i="6"/>
  <c r="Q21" i="6"/>
  <c r="P21" i="6"/>
  <c r="O21" i="6"/>
  <c r="AH20" i="6"/>
  <c r="AG20" i="6"/>
  <c r="AE20" i="6"/>
  <c r="AD20" i="6"/>
  <c r="AC20" i="6"/>
  <c r="Q20" i="6"/>
  <c r="P20" i="6"/>
  <c r="O20" i="6"/>
  <c r="AH19" i="6"/>
  <c r="AG19" i="6"/>
  <c r="AE19" i="6"/>
  <c r="AD19" i="6"/>
  <c r="AC19" i="6"/>
  <c r="Q19" i="6"/>
  <c r="P19" i="6"/>
  <c r="O19" i="6"/>
  <c r="AH18" i="6"/>
  <c r="AG18" i="6"/>
  <c r="AE18" i="6"/>
  <c r="AD18" i="6"/>
  <c r="AC18" i="6"/>
  <c r="Q18" i="6"/>
  <c r="P18" i="6"/>
  <c r="O18" i="6"/>
  <c r="AH17" i="6"/>
  <c r="AG17" i="6"/>
  <c r="AE17" i="6"/>
  <c r="AD17" i="6"/>
  <c r="AC17" i="6"/>
  <c r="Q17" i="6"/>
  <c r="P17" i="6"/>
  <c r="O17" i="6"/>
  <c r="AH16" i="6"/>
  <c r="AG16" i="6"/>
  <c r="AE16" i="6"/>
  <c r="AD16" i="6"/>
  <c r="AC16" i="6"/>
  <c r="Q16" i="6"/>
  <c r="P16" i="6"/>
  <c r="O16" i="6"/>
  <c r="AH15" i="6"/>
  <c r="AG15" i="6"/>
  <c r="AE15" i="6"/>
  <c r="AD15" i="6"/>
  <c r="AC15" i="6"/>
  <c r="Q15" i="6"/>
  <c r="P15" i="6"/>
  <c r="O15" i="6"/>
  <c r="AH14" i="6"/>
  <c r="AG14" i="6"/>
  <c r="AE14" i="6"/>
  <c r="AD14" i="6"/>
  <c r="AC14" i="6"/>
  <c r="Q14" i="6"/>
  <c r="P14" i="6"/>
  <c r="O14" i="6"/>
  <c r="AH13" i="6"/>
  <c r="AG13" i="6"/>
  <c r="AE13" i="6"/>
  <c r="AD13" i="6"/>
  <c r="AC13" i="6"/>
  <c r="Q13" i="6"/>
  <c r="P13" i="6"/>
  <c r="O13" i="6"/>
  <c r="AH12" i="6"/>
  <c r="AG12" i="6"/>
  <c r="AE12" i="6"/>
  <c r="AD12" i="6"/>
  <c r="AC12" i="6"/>
  <c r="Q12" i="6"/>
  <c r="P12" i="6"/>
  <c r="O12" i="6"/>
  <c r="AH11" i="6"/>
  <c r="AG11" i="6"/>
  <c r="AE11" i="6"/>
  <c r="AD11" i="6"/>
  <c r="AC11" i="6"/>
  <c r="Q11" i="6"/>
  <c r="P11" i="6"/>
  <c r="O11" i="6"/>
  <c r="AG10" i="6"/>
  <c r="AE10" i="6"/>
  <c r="AD10" i="6"/>
  <c r="AC10" i="6"/>
  <c r="AH9" i="6"/>
  <c r="AG9" i="6"/>
  <c r="AE9" i="6"/>
  <c r="AD9" i="6"/>
  <c r="AC9" i="6"/>
  <c r="Q9" i="6"/>
  <c r="P9" i="6"/>
  <c r="O9" i="6"/>
  <c r="AH8" i="6"/>
  <c r="AG8" i="6"/>
  <c r="AE8" i="6"/>
  <c r="AD8" i="6"/>
  <c r="AC8" i="6"/>
  <c r="Q8" i="6"/>
  <c r="P8" i="6"/>
  <c r="O8" i="6"/>
  <c r="AH7" i="6"/>
  <c r="AG7" i="6"/>
  <c r="AE7" i="6"/>
  <c r="AD7" i="6"/>
  <c r="AC7" i="6"/>
  <c r="Q7" i="6"/>
  <c r="P7" i="6"/>
  <c r="O7" i="6"/>
  <c r="AG6" i="6"/>
  <c r="AI38" i="3"/>
  <c r="AH38" i="3"/>
  <c r="AI37" i="3"/>
  <c r="AH37" i="3"/>
  <c r="AI36" i="3"/>
  <c r="AH36" i="3"/>
  <c r="AI35" i="3"/>
  <c r="AH35" i="3"/>
  <c r="AI34" i="3"/>
  <c r="AH34" i="3"/>
  <c r="AI33" i="3"/>
  <c r="AH33" i="3"/>
  <c r="AI32" i="3"/>
  <c r="AH32" i="3"/>
  <c r="AI31" i="3"/>
  <c r="AH31" i="3"/>
  <c r="AI30" i="3"/>
  <c r="AH30" i="3"/>
  <c r="AI29" i="3"/>
  <c r="AH29" i="3"/>
  <c r="AI28" i="3"/>
  <c r="AH28" i="3"/>
  <c r="AI26" i="3"/>
  <c r="AH26" i="3"/>
  <c r="AI25" i="3"/>
  <c r="AH25" i="3"/>
  <c r="AI24" i="3"/>
  <c r="AH24" i="3"/>
  <c r="AH8" i="3"/>
  <c r="AI8" i="3"/>
  <c r="AH9" i="3"/>
  <c r="AI9" i="3"/>
  <c r="AH11" i="3"/>
  <c r="AI11" i="3"/>
  <c r="AH12" i="3"/>
  <c r="AI12" i="3"/>
  <c r="AH13" i="3"/>
  <c r="AI13" i="3"/>
  <c r="AH14" i="3"/>
  <c r="AI14" i="3"/>
  <c r="AH15" i="3"/>
  <c r="AI15" i="3"/>
  <c r="AH16" i="3"/>
  <c r="AI16" i="3"/>
  <c r="AH17" i="3"/>
  <c r="AI17" i="3"/>
  <c r="AH18" i="3"/>
  <c r="AI18" i="3"/>
  <c r="AH19" i="3"/>
  <c r="AI19" i="3"/>
  <c r="AH20" i="3"/>
  <c r="AI20" i="3"/>
  <c r="AH21" i="3"/>
  <c r="AI21" i="3"/>
  <c r="AH7" i="3"/>
  <c r="AI7" i="3"/>
  <c r="AG38" i="3"/>
  <c r="AG37" i="3"/>
  <c r="AG36" i="3"/>
  <c r="AG35" i="3"/>
  <c r="AG34" i="3"/>
  <c r="AG33" i="3"/>
  <c r="AG32" i="3"/>
  <c r="AG31" i="3"/>
  <c r="AG30" i="3"/>
  <c r="AG29" i="3"/>
  <c r="AG28" i="3"/>
  <c r="AG27" i="3"/>
  <c r="AG26" i="3"/>
  <c r="AG25" i="3"/>
  <c r="AG24" i="3"/>
  <c r="AG23" i="3"/>
  <c r="AG21" i="3"/>
  <c r="AG20" i="3"/>
  <c r="AG19" i="3"/>
  <c r="AG18" i="3"/>
  <c r="AG17" i="3"/>
  <c r="AG16" i="3"/>
  <c r="AG15" i="3"/>
  <c r="AG14" i="3"/>
  <c r="AG13" i="3"/>
  <c r="AG12" i="3"/>
  <c r="AG11" i="3"/>
  <c r="AG10" i="3"/>
  <c r="AG9" i="3"/>
  <c r="AG8" i="3"/>
  <c r="AG7" i="3"/>
  <c r="AG6" i="3"/>
  <c r="AC38" i="3"/>
  <c r="AC37" i="3"/>
  <c r="AC36" i="3"/>
  <c r="AC35" i="3"/>
  <c r="AC34" i="3"/>
  <c r="AC33" i="3"/>
  <c r="AC32" i="3"/>
  <c r="AC31" i="3"/>
  <c r="AC30" i="3"/>
  <c r="AC29" i="3"/>
  <c r="AC28" i="3"/>
  <c r="AC27" i="3"/>
  <c r="AC26" i="3"/>
  <c r="AC25" i="3"/>
  <c r="AC24" i="3"/>
  <c r="AC21" i="3"/>
  <c r="AC20" i="3"/>
  <c r="AC19" i="3"/>
  <c r="AC18" i="3"/>
  <c r="AC17" i="3"/>
  <c r="AC16" i="3"/>
  <c r="AC15" i="3"/>
  <c r="AC14" i="3"/>
  <c r="AC13" i="3"/>
  <c r="AC12" i="3"/>
  <c r="AC11" i="3"/>
  <c r="AC10" i="3"/>
  <c r="AC9" i="3"/>
  <c r="AC8" i="3"/>
  <c r="AE38" i="3"/>
  <c r="AD38" i="3"/>
  <c r="AE37" i="3"/>
  <c r="AD37" i="3"/>
  <c r="AE36" i="3"/>
  <c r="AD36" i="3"/>
  <c r="AE35" i="3"/>
  <c r="AD35" i="3"/>
  <c r="AE34" i="3"/>
  <c r="AD34" i="3"/>
  <c r="AE33" i="3"/>
  <c r="AD33" i="3"/>
  <c r="AE32" i="3"/>
  <c r="AD32" i="3"/>
  <c r="AE31" i="3"/>
  <c r="AD31" i="3"/>
  <c r="AE30" i="3"/>
  <c r="AD30" i="3"/>
  <c r="AE29" i="3"/>
  <c r="AD29" i="3"/>
  <c r="AE28" i="3"/>
  <c r="AD28" i="3"/>
  <c r="AE27" i="3"/>
  <c r="AD27" i="3"/>
  <c r="AE26" i="3"/>
  <c r="AD26" i="3"/>
  <c r="AE25" i="3"/>
  <c r="AD25" i="3"/>
  <c r="AE24" i="3"/>
  <c r="AD24" i="3"/>
  <c r="AD8" i="3"/>
  <c r="AE8" i="3"/>
  <c r="AD9" i="3"/>
  <c r="AE9" i="3"/>
  <c r="AD10" i="3"/>
  <c r="AE10" i="3"/>
  <c r="AD11" i="3"/>
  <c r="AE11" i="3"/>
  <c r="AD12" i="3"/>
  <c r="AE12" i="3"/>
  <c r="AD13" i="3"/>
  <c r="AE13" i="3"/>
  <c r="AD14" i="3"/>
  <c r="AE14" i="3"/>
  <c r="AD15" i="3"/>
  <c r="AE15" i="3"/>
  <c r="AD16" i="3"/>
  <c r="AE16" i="3"/>
  <c r="AD17" i="3"/>
  <c r="AE17" i="3"/>
  <c r="AD18" i="3"/>
  <c r="AE18" i="3"/>
  <c r="AD19" i="3"/>
  <c r="AE19" i="3"/>
  <c r="AD20" i="3"/>
  <c r="AE20" i="3"/>
  <c r="AD21" i="3"/>
  <c r="AE21" i="3"/>
  <c r="AE7" i="3"/>
  <c r="AD7" i="3"/>
  <c r="AC7" i="3"/>
  <c r="Q38" i="3"/>
  <c r="Q37" i="3"/>
  <c r="Q36" i="3"/>
  <c r="Q35" i="3"/>
  <c r="Q34" i="3"/>
  <c r="Q33" i="3"/>
  <c r="Q32" i="3"/>
  <c r="Q31" i="3"/>
  <c r="Q30" i="3"/>
  <c r="Q29" i="3"/>
  <c r="Q28" i="3"/>
  <c r="Q26" i="3"/>
  <c r="Q25" i="3"/>
  <c r="Q24" i="3"/>
  <c r="Q21" i="3"/>
  <c r="Q20" i="3"/>
  <c r="Q19" i="3"/>
  <c r="Q18" i="3"/>
  <c r="Q17" i="3"/>
  <c r="Q16" i="3"/>
  <c r="Q15" i="3"/>
  <c r="Q14" i="3"/>
  <c r="Q13" i="3"/>
  <c r="Q12" i="3"/>
  <c r="Q11" i="3"/>
  <c r="Q9" i="3"/>
  <c r="Q8" i="3"/>
  <c r="Q7" i="3"/>
  <c r="P38" i="3"/>
  <c r="P37" i="3"/>
  <c r="P36" i="3"/>
  <c r="P35" i="3"/>
  <c r="P34" i="3"/>
  <c r="P33" i="3"/>
  <c r="P32" i="3"/>
  <c r="P31" i="3"/>
  <c r="P30" i="3"/>
  <c r="P29" i="3"/>
  <c r="P28" i="3"/>
  <c r="P26" i="3"/>
  <c r="P25" i="3"/>
  <c r="P24" i="3"/>
  <c r="P21" i="3"/>
  <c r="P20" i="3"/>
  <c r="P19" i="3"/>
  <c r="P18" i="3"/>
  <c r="P17" i="3"/>
  <c r="P16" i="3"/>
  <c r="P15" i="3"/>
  <c r="P14" i="3"/>
  <c r="P13" i="3"/>
  <c r="P12" i="3"/>
  <c r="P11" i="3"/>
  <c r="P9" i="3"/>
  <c r="P8" i="3"/>
  <c r="P7" i="3"/>
  <c r="O16" i="3"/>
  <c r="O38" i="3"/>
  <c r="O37" i="3"/>
  <c r="O36" i="3"/>
  <c r="O35" i="3"/>
  <c r="O34" i="3"/>
  <c r="O33" i="3"/>
  <c r="O32" i="3"/>
  <c r="O31" i="3"/>
  <c r="O30" i="3"/>
  <c r="O29" i="3"/>
  <c r="O28" i="3"/>
  <c r="O26" i="3"/>
  <c r="O25" i="3"/>
  <c r="O24" i="3"/>
  <c r="O8" i="3"/>
  <c r="O9" i="3"/>
  <c r="O11" i="3"/>
  <c r="O12" i="3"/>
  <c r="O13" i="3"/>
  <c r="O14" i="3"/>
  <c r="O15" i="3"/>
  <c r="O17" i="3"/>
  <c r="O18" i="3"/>
  <c r="O19" i="3"/>
  <c r="O20" i="3"/>
  <c r="O21" i="3"/>
  <c r="O7" i="3"/>
  <c r="R70" i="5"/>
  <c r="S70" i="5" s="1"/>
  <c r="P70" i="5"/>
  <c r="Q70" i="5" s="1"/>
  <c r="O70" i="5"/>
  <c r="L70" i="5"/>
  <c r="M70" i="5" s="1"/>
  <c r="J70" i="5"/>
  <c r="K70" i="5" s="1"/>
  <c r="I70" i="5"/>
  <c r="R69" i="5"/>
  <c r="S69" i="5" s="1"/>
  <c r="P69" i="5"/>
  <c r="Q69" i="5" s="1"/>
  <c r="O69" i="5"/>
  <c r="L69" i="5"/>
  <c r="M69" i="5" s="1"/>
  <c r="J69" i="5"/>
  <c r="K69" i="5" s="1"/>
  <c r="I69" i="5"/>
  <c r="R68" i="5"/>
  <c r="S68" i="5" s="1"/>
  <c r="P68" i="5"/>
  <c r="Q68" i="5" s="1"/>
  <c r="O68" i="5"/>
  <c r="L68" i="5"/>
  <c r="M68" i="5" s="1"/>
  <c r="J68" i="5"/>
  <c r="K68" i="5" s="1"/>
  <c r="I68" i="5"/>
  <c r="R67" i="5"/>
  <c r="S67" i="5" s="1"/>
  <c r="P67" i="5"/>
  <c r="Q67" i="5" s="1"/>
  <c r="O67" i="5"/>
  <c r="L67" i="5"/>
  <c r="M67" i="5" s="1"/>
  <c r="J67" i="5"/>
  <c r="K67" i="5" s="1"/>
  <c r="I67" i="5"/>
  <c r="R66" i="5"/>
  <c r="S66" i="5" s="1"/>
  <c r="P66" i="5"/>
  <c r="Q66" i="5" s="1"/>
  <c r="O66" i="5"/>
  <c r="L66" i="5"/>
  <c r="M66" i="5" s="1"/>
  <c r="J66" i="5"/>
  <c r="K66" i="5" s="1"/>
  <c r="I66" i="5"/>
  <c r="R65" i="5"/>
  <c r="S65" i="5" s="1"/>
  <c r="P65" i="5"/>
  <c r="Q65" i="5" s="1"/>
  <c r="O65" i="5"/>
  <c r="L65" i="5"/>
  <c r="M65" i="5" s="1"/>
  <c r="J65" i="5"/>
  <c r="K65" i="5" s="1"/>
  <c r="I65" i="5"/>
  <c r="R64" i="5"/>
  <c r="S64" i="5" s="1"/>
  <c r="P64" i="5"/>
  <c r="Q64" i="5" s="1"/>
  <c r="O64" i="5"/>
  <c r="L64" i="5"/>
  <c r="M64" i="5" s="1"/>
  <c r="J64" i="5"/>
  <c r="K64" i="5" s="1"/>
  <c r="I64" i="5"/>
  <c r="R63" i="5"/>
  <c r="S63" i="5" s="1"/>
  <c r="P63" i="5"/>
  <c r="Q63" i="5" s="1"/>
  <c r="O63" i="5"/>
  <c r="L63" i="5"/>
  <c r="M63" i="5" s="1"/>
  <c r="J63" i="5"/>
  <c r="K63" i="5" s="1"/>
  <c r="I63" i="5"/>
  <c r="R62" i="5"/>
  <c r="S62" i="5" s="1"/>
  <c r="P62" i="5"/>
  <c r="Q62" i="5" s="1"/>
  <c r="O62" i="5"/>
  <c r="L62" i="5"/>
  <c r="M62" i="5" s="1"/>
  <c r="J62" i="5"/>
  <c r="K62" i="5" s="1"/>
  <c r="I62" i="5"/>
  <c r="R61" i="5"/>
  <c r="S61" i="5" s="1"/>
  <c r="P61" i="5"/>
  <c r="Q61" i="5" s="1"/>
  <c r="O61" i="5"/>
  <c r="L61" i="5"/>
  <c r="M61" i="5" s="1"/>
  <c r="J61" i="5"/>
  <c r="K61" i="5" s="1"/>
  <c r="I61" i="5"/>
  <c r="R60" i="5"/>
  <c r="S60" i="5" s="1"/>
  <c r="P60" i="5"/>
  <c r="Q60" i="5" s="1"/>
  <c r="O60" i="5"/>
  <c r="L60" i="5"/>
  <c r="M60" i="5" s="1"/>
  <c r="J60" i="5"/>
  <c r="K60" i="5" s="1"/>
  <c r="I60" i="5"/>
  <c r="R59" i="5"/>
  <c r="S59" i="5" s="1"/>
  <c r="P59" i="5"/>
  <c r="Q59" i="5" s="1"/>
  <c r="O59" i="5"/>
  <c r="L59" i="5"/>
  <c r="M59" i="5" s="1"/>
  <c r="J59" i="5"/>
  <c r="K59" i="5" s="1"/>
  <c r="I59" i="5"/>
  <c r="R58" i="5"/>
  <c r="S58" i="5" s="1"/>
  <c r="P58" i="5"/>
  <c r="Q58" i="5" s="1"/>
  <c r="O58" i="5"/>
  <c r="L58" i="5"/>
  <c r="M58" i="5" s="1"/>
  <c r="J58" i="5"/>
  <c r="K58" i="5" s="1"/>
  <c r="I58" i="5"/>
  <c r="R57" i="5"/>
  <c r="S57" i="5" s="1"/>
  <c r="P57" i="5"/>
  <c r="Q57" i="5" s="1"/>
  <c r="O57" i="5"/>
  <c r="L57" i="5"/>
  <c r="M57" i="5" s="1"/>
  <c r="J57" i="5"/>
  <c r="K57" i="5" s="1"/>
  <c r="I57" i="5"/>
  <c r="R56" i="5"/>
  <c r="S56" i="5" s="1"/>
  <c r="P56" i="5"/>
  <c r="Q56" i="5" s="1"/>
  <c r="O56" i="5"/>
  <c r="L56" i="5"/>
  <c r="M56" i="5" s="1"/>
  <c r="J56" i="5"/>
  <c r="K56" i="5" s="1"/>
  <c r="I56" i="5"/>
  <c r="R55" i="5"/>
  <c r="S55" i="5" s="1"/>
  <c r="P55" i="5"/>
  <c r="Q55" i="5" s="1"/>
  <c r="O55" i="5"/>
  <c r="L55" i="5"/>
  <c r="M55" i="5" s="1"/>
  <c r="J55" i="5"/>
  <c r="K55" i="5" s="1"/>
  <c r="I55" i="5"/>
  <c r="R54" i="5"/>
  <c r="S54" i="5" s="1"/>
  <c r="P54" i="5"/>
  <c r="Q54" i="5" s="1"/>
  <c r="O54" i="5"/>
  <c r="L54" i="5"/>
  <c r="M54" i="5" s="1"/>
  <c r="J54" i="5"/>
  <c r="K54" i="5" s="1"/>
  <c r="I54" i="5"/>
  <c r="R53" i="5"/>
  <c r="S53" i="5" s="1"/>
  <c r="P53" i="5"/>
  <c r="Q53" i="5" s="1"/>
  <c r="O53" i="5"/>
  <c r="L53" i="5"/>
  <c r="M53" i="5" s="1"/>
  <c r="J53" i="5"/>
  <c r="K53" i="5" s="1"/>
  <c r="I53" i="5"/>
  <c r="R52" i="5"/>
  <c r="S52" i="5" s="1"/>
  <c r="P52" i="5"/>
  <c r="Q52" i="5" s="1"/>
  <c r="O52" i="5"/>
  <c r="L52" i="5"/>
  <c r="M52" i="5" s="1"/>
  <c r="J52" i="5"/>
  <c r="K52" i="5" s="1"/>
  <c r="I52" i="5"/>
  <c r="R51" i="5"/>
  <c r="S51" i="5" s="1"/>
  <c r="P51" i="5"/>
  <c r="Q51" i="5" s="1"/>
  <c r="O51" i="5"/>
  <c r="L51" i="5"/>
  <c r="M51" i="5" s="1"/>
  <c r="J51" i="5"/>
  <c r="K51" i="5" s="1"/>
  <c r="I51" i="5"/>
  <c r="R50" i="5"/>
  <c r="S50" i="5" s="1"/>
  <c r="P50" i="5"/>
  <c r="Q50" i="5" s="1"/>
  <c r="O50" i="5"/>
  <c r="L50" i="5"/>
  <c r="M50" i="5" s="1"/>
  <c r="J50" i="5"/>
  <c r="K50" i="5" s="1"/>
  <c r="I50" i="5"/>
  <c r="R49" i="5"/>
  <c r="S49" i="5" s="1"/>
  <c r="P49" i="5"/>
  <c r="Q49" i="5" s="1"/>
  <c r="O49" i="5"/>
  <c r="L49" i="5"/>
  <c r="M49" i="5" s="1"/>
  <c r="J49" i="5"/>
  <c r="K49" i="5" s="1"/>
  <c r="I49" i="5"/>
  <c r="R48" i="5"/>
  <c r="S48" i="5" s="1"/>
  <c r="P48" i="5"/>
  <c r="Q48" i="5" s="1"/>
  <c r="O48" i="5"/>
  <c r="L48" i="5"/>
  <c r="M48" i="5" s="1"/>
  <c r="J48" i="5"/>
  <c r="K48" i="5" s="1"/>
  <c r="I48" i="5"/>
  <c r="R47" i="5"/>
  <c r="S47" i="5" s="1"/>
  <c r="P47" i="5"/>
  <c r="Q47" i="5" s="1"/>
  <c r="O47" i="5"/>
  <c r="L47" i="5"/>
  <c r="M47" i="5" s="1"/>
  <c r="J47" i="5"/>
  <c r="K47" i="5" s="1"/>
  <c r="I47" i="5"/>
  <c r="R46" i="5"/>
  <c r="S46" i="5" s="1"/>
  <c r="P46" i="5"/>
  <c r="Q46" i="5" s="1"/>
  <c r="O46" i="5"/>
  <c r="L46" i="5"/>
  <c r="M46" i="5" s="1"/>
  <c r="J46" i="5"/>
  <c r="K46" i="5" s="1"/>
  <c r="I46" i="5"/>
  <c r="R45" i="5"/>
  <c r="S45" i="5" s="1"/>
  <c r="P45" i="5"/>
  <c r="Q45" i="5" s="1"/>
  <c r="O45" i="5"/>
  <c r="L45" i="5"/>
  <c r="M45" i="5" s="1"/>
  <c r="J45" i="5"/>
  <c r="K45" i="5" s="1"/>
  <c r="I45" i="5"/>
  <c r="R44" i="5"/>
  <c r="S44" i="5" s="1"/>
  <c r="P44" i="5"/>
  <c r="Q44" i="5" s="1"/>
  <c r="O44" i="5"/>
  <c r="L44" i="5"/>
  <c r="M44" i="5" s="1"/>
  <c r="J44" i="5"/>
  <c r="K44" i="5" s="1"/>
  <c r="I44" i="5"/>
  <c r="R43" i="5"/>
  <c r="S43" i="5" s="1"/>
  <c r="P43" i="5"/>
  <c r="Q43" i="5" s="1"/>
  <c r="O43" i="5"/>
  <c r="L43" i="5"/>
  <c r="M43" i="5" s="1"/>
  <c r="J43" i="5"/>
  <c r="K43" i="5" s="1"/>
  <c r="I43" i="5"/>
  <c r="R42" i="5"/>
  <c r="S42" i="5" s="1"/>
  <c r="P42" i="5"/>
  <c r="Q42" i="5" s="1"/>
  <c r="O42" i="5"/>
  <c r="L42" i="5"/>
  <c r="M42" i="5" s="1"/>
  <c r="J42" i="5"/>
  <c r="K42" i="5" s="1"/>
  <c r="I42" i="5"/>
  <c r="R41" i="5"/>
  <c r="S41" i="5" s="1"/>
  <c r="P41" i="5"/>
  <c r="Q41" i="5" s="1"/>
  <c r="O41" i="5"/>
  <c r="L41" i="5"/>
  <c r="M41" i="5" s="1"/>
  <c r="J41" i="5"/>
  <c r="K41" i="5" s="1"/>
  <c r="I41" i="5"/>
  <c r="R40" i="5"/>
  <c r="S40" i="5" s="1"/>
  <c r="P40" i="5"/>
  <c r="Q40" i="5" s="1"/>
  <c r="O40" i="5"/>
  <c r="L40" i="5"/>
  <c r="M40" i="5" s="1"/>
  <c r="J40" i="5"/>
  <c r="K40" i="5" s="1"/>
  <c r="I40" i="5"/>
  <c r="R39" i="5"/>
  <c r="S39" i="5" s="1"/>
  <c r="P39" i="5"/>
  <c r="Q39" i="5" s="1"/>
  <c r="O39" i="5"/>
  <c r="L39" i="5"/>
  <c r="M39" i="5" s="1"/>
  <c r="J39" i="5"/>
  <c r="K39" i="5" s="1"/>
  <c r="I39" i="5"/>
  <c r="R37" i="5"/>
  <c r="S37" i="5" s="1"/>
  <c r="P37" i="5"/>
  <c r="Q37" i="5" s="1"/>
  <c r="O37" i="5"/>
  <c r="L37" i="5"/>
  <c r="M37" i="5" s="1"/>
  <c r="J37" i="5"/>
  <c r="K37" i="5" s="1"/>
  <c r="I37" i="5"/>
  <c r="R36" i="5"/>
  <c r="S36" i="5" s="1"/>
  <c r="P36" i="5"/>
  <c r="Q36" i="5" s="1"/>
  <c r="O36" i="5"/>
  <c r="L36" i="5"/>
  <c r="M36" i="5" s="1"/>
  <c r="J36" i="5"/>
  <c r="K36" i="5" s="1"/>
  <c r="I36" i="5"/>
  <c r="R35" i="5"/>
  <c r="S35" i="5" s="1"/>
  <c r="P35" i="5"/>
  <c r="Q35" i="5" s="1"/>
  <c r="O35" i="5"/>
  <c r="L35" i="5"/>
  <c r="M35" i="5" s="1"/>
  <c r="J35" i="5"/>
  <c r="K35" i="5" s="1"/>
  <c r="I35" i="5"/>
  <c r="R34" i="5"/>
  <c r="S34" i="5" s="1"/>
  <c r="P34" i="5"/>
  <c r="Q34" i="5" s="1"/>
  <c r="O34" i="5"/>
  <c r="L34" i="5"/>
  <c r="M34" i="5" s="1"/>
  <c r="J34" i="5"/>
  <c r="K34" i="5" s="1"/>
  <c r="I34" i="5"/>
  <c r="R33" i="5"/>
  <c r="S33" i="5" s="1"/>
  <c r="P33" i="5"/>
  <c r="Q33" i="5" s="1"/>
  <c r="O33" i="5"/>
  <c r="L33" i="5"/>
  <c r="M33" i="5" s="1"/>
  <c r="J33" i="5"/>
  <c r="K33" i="5" s="1"/>
  <c r="I33" i="5"/>
  <c r="R32" i="5"/>
  <c r="S32" i="5" s="1"/>
  <c r="P32" i="5"/>
  <c r="Q32" i="5" s="1"/>
  <c r="O32" i="5"/>
  <c r="L32" i="5"/>
  <c r="M32" i="5" s="1"/>
  <c r="J32" i="5"/>
  <c r="K32" i="5" s="1"/>
  <c r="I32" i="5"/>
  <c r="R31" i="5"/>
  <c r="S31" i="5" s="1"/>
  <c r="P31" i="5"/>
  <c r="Q31" i="5" s="1"/>
  <c r="O31" i="5"/>
  <c r="L31" i="5"/>
  <c r="M31" i="5" s="1"/>
  <c r="J31" i="5"/>
  <c r="K31" i="5" s="1"/>
  <c r="I31" i="5"/>
  <c r="R30" i="5"/>
  <c r="S30" i="5" s="1"/>
  <c r="P30" i="5"/>
  <c r="Q30" i="5" s="1"/>
  <c r="O30" i="5"/>
  <c r="L30" i="5"/>
  <c r="M30" i="5" s="1"/>
  <c r="J30" i="5"/>
  <c r="K30" i="5" s="1"/>
  <c r="I30" i="5"/>
  <c r="R29" i="5"/>
  <c r="S29" i="5" s="1"/>
  <c r="P29" i="5"/>
  <c r="Q29" i="5" s="1"/>
  <c r="O29" i="5"/>
  <c r="L29" i="5"/>
  <c r="M29" i="5" s="1"/>
  <c r="J29" i="5"/>
  <c r="K29" i="5" s="1"/>
  <c r="I29" i="5"/>
  <c r="R28" i="5"/>
  <c r="S28" i="5" s="1"/>
  <c r="P28" i="5"/>
  <c r="Q28" i="5" s="1"/>
  <c r="O28" i="5"/>
  <c r="L28" i="5"/>
  <c r="M28" i="5" s="1"/>
  <c r="J28" i="5"/>
  <c r="K28" i="5" s="1"/>
  <c r="I28" i="5"/>
  <c r="R27" i="5"/>
  <c r="S27" i="5" s="1"/>
  <c r="P27" i="5"/>
  <c r="Q27" i="5" s="1"/>
  <c r="O27" i="5"/>
  <c r="L27" i="5"/>
  <c r="M27" i="5" s="1"/>
  <c r="J27" i="5"/>
  <c r="K27" i="5" s="1"/>
  <c r="I27" i="5"/>
  <c r="R26" i="5"/>
  <c r="S26" i="5" s="1"/>
  <c r="P26" i="5"/>
  <c r="Q26" i="5" s="1"/>
  <c r="O26" i="5"/>
  <c r="L26" i="5"/>
  <c r="M26" i="5" s="1"/>
  <c r="J26" i="5"/>
  <c r="K26" i="5" s="1"/>
  <c r="I26" i="5"/>
  <c r="R25" i="5"/>
  <c r="S25" i="5" s="1"/>
  <c r="P25" i="5"/>
  <c r="Q25" i="5" s="1"/>
  <c r="O25" i="5"/>
  <c r="L25" i="5"/>
  <c r="M25" i="5" s="1"/>
  <c r="J25" i="5"/>
  <c r="K25" i="5" s="1"/>
  <c r="I25" i="5"/>
  <c r="R24" i="5"/>
  <c r="S24" i="5" s="1"/>
  <c r="P24" i="5"/>
  <c r="Q24" i="5" s="1"/>
  <c r="O24" i="5"/>
  <c r="L24" i="5"/>
  <c r="M24" i="5" s="1"/>
  <c r="J24" i="5"/>
  <c r="K24" i="5" s="1"/>
  <c r="I24" i="5"/>
  <c r="R23" i="5"/>
  <c r="S23" i="5" s="1"/>
  <c r="P23" i="5"/>
  <c r="Q23" i="5" s="1"/>
  <c r="O23" i="5"/>
  <c r="L23" i="5"/>
  <c r="M23" i="5" s="1"/>
  <c r="J23" i="5"/>
  <c r="K23" i="5" s="1"/>
  <c r="I23" i="5"/>
  <c r="R22" i="5"/>
  <c r="S22" i="5" s="1"/>
  <c r="P22" i="5"/>
  <c r="Q22" i="5" s="1"/>
  <c r="O22" i="5"/>
  <c r="L22" i="5"/>
  <c r="M22" i="5" s="1"/>
  <c r="J22" i="5"/>
  <c r="K22" i="5" s="1"/>
  <c r="I22" i="5"/>
  <c r="R21" i="5"/>
  <c r="S21" i="5" s="1"/>
  <c r="P21" i="5"/>
  <c r="Q21" i="5" s="1"/>
  <c r="O21" i="5"/>
  <c r="L21" i="5"/>
  <c r="M21" i="5" s="1"/>
  <c r="J21" i="5"/>
  <c r="K21" i="5" s="1"/>
  <c r="I21" i="5"/>
  <c r="R20" i="5"/>
  <c r="S20" i="5" s="1"/>
  <c r="P20" i="5"/>
  <c r="Q20" i="5" s="1"/>
  <c r="O20" i="5"/>
  <c r="L20" i="5"/>
  <c r="M20" i="5" s="1"/>
  <c r="J20" i="5"/>
  <c r="K20" i="5" s="1"/>
  <c r="I20" i="5"/>
  <c r="R19" i="5"/>
  <c r="S19" i="5" s="1"/>
  <c r="P19" i="5"/>
  <c r="Q19" i="5" s="1"/>
  <c r="O19" i="5"/>
  <c r="L19" i="5"/>
  <c r="M19" i="5" s="1"/>
  <c r="J19" i="5"/>
  <c r="K19" i="5" s="1"/>
  <c r="I19" i="5"/>
  <c r="R18" i="5"/>
  <c r="S18" i="5" s="1"/>
  <c r="P18" i="5"/>
  <c r="Q18" i="5" s="1"/>
  <c r="O18" i="5"/>
  <c r="L18" i="5"/>
  <c r="M18" i="5" s="1"/>
  <c r="J18" i="5"/>
  <c r="K18" i="5" s="1"/>
  <c r="I18" i="5"/>
  <c r="R17" i="5"/>
  <c r="S17" i="5" s="1"/>
  <c r="P17" i="5"/>
  <c r="Q17" i="5" s="1"/>
  <c r="O17" i="5"/>
  <c r="L17" i="5"/>
  <c r="M17" i="5" s="1"/>
  <c r="J17" i="5"/>
  <c r="K17" i="5" s="1"/>
  <c r="I17" i="5"/>
  <c r="R16" i="5"/>
  <c r="S16" i="5" s="1"/>
  <c r="P16" i="5"/>
  <c r="Q16" i="5" s="1"/>
  <c r="O16" i="5"/>
  <c r="L16" i="5"/>
  <c r="M16" i="5" s="1"/>
  <c r="J16" i="5"/>
  <c r="K16" i="5" s="1"/>
  <c r="I16" i="5"/>
  <c r="R15" i="5"/>
  <c r="S15" i="5" s="1"/>
  <c r="P15" i="5"/>
  <c r="Q15" i="5" s="1"/>
  <c r="O15" i="5"/>
  <c r="L15" i="5"/>
  <c r="M15" i="5" s="1"/>
  <c r="J15" i="5"/>
  <c r="K15" i="5" s="1"/>
  <c r="I15" i="5"/>
  <c r="R14" i="5"/>
  <c r="S14" i="5" s="1"/>
  <c r="P14" i="5"/>
  <c r="Q14" i="5" s="1"/>
  <c r="O14" i="5"/>
  <c r="L14" i="5"/>
  <c r="M14" i="5" s="1"/>
  <c r="J14" i="5"/>
  <c r="K14" i="5" s="1"/>
  <c r="I14" i="5"/>
  <c r="R13" i="5"/>
  <c r="S13" i="5" s="1"/>
  <c r="P13" i="5"/>
  <c r="Q13" i="5" s="1"/>
  <c r="O13" i="5"/>
  <c r="L13" i="5"/>
  <c r="M13" i="5" s="1"/>
  <c r="J13" i="5"/>
  <c r="K13" i="5" s="1"/>
  <c r="I13" i="5"/>
  <c r="R12" i="5"/>
  <c r="S12" i="5" s="1"/>
  <c r="P12" i="5"/>
  <c r="Q12" i="5" s="1"/>
  <c r="O12" i="5"/>
  <c r="L12" i="5"/>
  <c r="M12" i="5" s="1"/>
  <c r="J12" i="5"/>
  <c r="K12" i="5" s="1"/>
  <c r="I12" i="5"/>
  <c r="R11" i="5"/>
  <c r="S11" i="5" s="1"/>
  <c r="P11" i="5"/>
  <c r="Q11" i="5" s="1"/>
  <c r="O11" i="5"/>
  <c r="L11" i="5"/>
  <c r="M11" i="5" s="1"/>
  <c r="J11" i="5"/>
  <c r="K11" i="5" s="1"/>
  <c r="I11" i="5"/>
  <c r="R10" i="5"/>
  <c r="S10" i="5" s="1"/>
  <c r="P10" i="5"/>
  <c r="Q10" i="5" s="1"/>
  <c r="O10" i="5"/>
  <c r="L10" i="5"/>
  <c r="M10" i="5" s="1"/>
  <c r="J10" i="5"/>
  <c r="K10" i="5" s="1"/>
  <c r="I10" i="5"/>
  <c r="R9" i="5"/>
  <c r="S9" i="5" s="1"/>
  <c r="P9" i="5"/>
  <c r="Q9" i="5" s="1"/>
  <c r="O9" i="5"/>
  <c r="L9" i="5"/>
  <c r="M9" i="5" s="1"/>
  <c r="J9" i="5"/>
  <c r="K9" i="5" s="1"/>
  <c r="I9" i="5"/>
  <c r="R8" i="5"/>
  <c r="S8" i="5" s="1"/>
  <c r="P8" i="5"/>
  <c r="Q8" i="5" s="1"/>
  <c r="O8" i="5"/>
  <c r="L8" i="5"/>
  <c r="M8" i="5" s="1"/>
  <c r="J8" i="5"/>
  <c r="K8" i="5" s="1"/>
  <c r="I8" i="5"/>
  <c r="R7" i="5"/>
  <c r="S7" i="5" s="1"/>
  <c r="P7" i="5"/>
  <c r="Q7" i="5" s="1"/>
  <c r="O7" i="5"/>
  <c r="L7" i="5"/>
  <c r="M7" i="5" s="1"/>
  <c r="J7" i="5"/>
  <c r="K7" i="5" s="1"/>
  <c r="I7" i="5"/>
  <c r="R6" i="5"/>
  <c r="S6" i="5" s="1"/>
  <c r="P6" i="5"/>
  <c r="Q6" i="5" s="1"/>
  <c r="O6" i="5"/>
  <c r="L6" i="5"/>
  <c r="M6" i="5" s="1"/>
  <c r="W6" i="5" s="1"/>
  <c r="J6" i="5"/>
  <c r="K6" i="5" s="1"/>
  <c r="V6" i="5" s="1"/>
  <c r="I6" i="5"/>
  <c r="U6" i="5" s="1"/>
  <c r="AI7" i="6" l="1"/>
  <c r="AI8" i="6"/>
  <c r="AI9" i="6"/>
  <c r="AI11" i="6"/>
  <c r="AI12" i="6"/>
  <c r="AI13" i="6"/>
  <c r="AI14" i="6"/>
  <c r="AI15" i="6"/>
  <c r="AI16" i="6"/>
  <c r="AI17" i="6"/>
  <c r="AI18" i="6"/>
  <c r="AI19" i="6"/>
  <c r="AI20" i="6"/>
  <c r="AI21" i="6"/>
  <c r="AI24" i="6"/>
  <c r="AI25" i="6"/>
  <c r="AI26" i="6"/>
  <c r="AI28" i="6"/>
  <c r="AI29" i="6"/>
  <c r="AI30" i="6"/>
  <c r="AI31" i="6"/>
  <c r="AI32" i="6"/>
  <c r="AI33" i="6"/>
  <c r="AI34" i="6"/>
  <c r="AI35" i="6"/>
  <c r="AI36" i="6"/>
  <c r="AI37" i="6"/>
  <c r="AI38" i="6"/>
  <c r="AC6" i="5"/>
  <c r="AD6" i="5"/>
  <c r="AE6" i="5"/>
  <c r="Y7" i="5"/>
  <c r="U7" i="5"/>
  <c r="Z7" i="5"/>
  <c r="V7" i="5"/>
  <c r="AA7" i="5"/>
  <c r="W7" i="5"/>
  <c r="AC7" i="5"/>
  <c r="AD7" i="5"/>
  <c r="AE7" i="5"/>
  <c r="U8" i="5"/>
  <c r="V8" i="5"/>
  <c r="W8" i="5"/>
  <c r="AC8" i="5"/>
  <c r="AD8" i="5"/>
  <c r="AE8" i="5"/>
  <c r="Y9" i="5"/>
  <c r="U9" i="5"/>
  <c r="Z9" i="5"/>
  <c r="V9" i="5"/>
  <c r="AA9" i="5"/>
  <c r="W9" i="5"/>
  <c r="AC9" i="5"/>
  <c r="AD9" i="5"/>
  <c r="AE9" i="5"/>
  <c r="U10" i="5"/>
  <c r="V10" i="5"/>
  <c r="W10" i="5"/>
  <c r="AC10" i="5"/>
  <c r="AD10" i="5"/>
  <c r="AE10" i="5"/>
  <c r="Y11" i="5"/>
  <c r="U11" i="5"/>
  <c r="Z11" i="5"/>
  <c r="V11" i="5"/>
  <c r="AA11" i="5"/>
  <c r="W11" i="5"/>
  <c r="AC11" i="5"/>
  <c r="AD11" i="5"/>
  <c r="AE11" i="5"/>
  <c r="U12" i="5"/>
  <c r="V12" i="5"/>
  <c r="W12" i="5"/>
  <c r="AC12" i="5"/>
  <c r="AD12" i="5"/>
  <c r="AE12" i="5"/>
  <c r="Y13" i="5"/>
  <c r="U13" i="5"/>
  <c r="Z13" i="5"/>
  <c r="V13" i="5"/>
  <c r="AA13" i="5"/>
  <c r="W13" i="5"/>
  <c r="AC13" i="5"/>
  <c r="AD13" i="5"/>
  <c r="AE13" i="5"/>
  <c r="U14" i="5"/>
  <c r="V14" i="5"/>
  <c r="W14" i="5"/>
  <c r="AC14" i="5"/>
  <c r="AD14" i="5"/>
  <c r="AE14" i="5"/>
  <c r="Y15" i="5"/>
  <c r="U15" i="5"/>
  <c r="Z15" i="5"/>
  <c r="V15" i="5"/>
  <c r="AA15" i="5"/>
  <c r="W15" i="5"/>
  <c r="AC15" i="5"/>
  <c r="AD15" i="5"/>
  <c r="AE15" i="5"/>
  <c r="U16" i="5"/>
  <c r="V16" i="5"/>
  <c r="W16" i="5"/>
  <c r="AC16" i="5"/>
  <c r="AD16" i="5"/>
  <c r="AE16" i="5"/>
  <c r="Y17" i="5"/>
  <c r="U17" i="5"/>
  <c r="Z17" i="5"/>
  <c r="V17" i="5"/>
  <c r="AA17" i="5"/>
  <c r="W17" i="5"/>
  <c r="AC17" i="5"/>
  <c r="AD17" i="5"/>
  <c r="AE17" i="5"/>
  <c r="U18" i="5"/>
  <c r="V18" i="5"/>
  <c r="W18" i="5"/>
  <c r="AC18" i="5"/>
  <c r="AD18" i="5"/>
  <c r="AE18" i="5"/>
  <c r="Y19" i="5"/>
  <c r="U19" i="5"/>
  <c r="Z19" i="5"/>
  <c r="V19" i="5"/>
  <c r="AA19" i="5"/>
  <c r="W19" i="5"/>
  <c r="AC19" i="5"/>
  <c r="AD19" i="5"/>
  <c r="AE19" i="5"/>
  <c r="U20" i="5"/>
  <c r="V20" i="5"/>
  <c r="W20" i="5"/>
  <c r="AC20" i="5"/>
  <c r="AD20" i="5"/>
  <c r="AE20" i="5"/>
  <c r="Y21" i="5"/>
  <c r="U21" i="5"/>
  <c r="Z21" i="5"/>
  <c r="V21" i="5"/>
  <c r="AA21" i="5"/>
  <c r="W21" i="5"/>
  <c r="AC21" i="5"/>
  <c r="AD21" i="5"/>
  <c r="AE21" i="5"/>
  <c r="U22" i="5"/>
  <c r="V22" i="5"/>
  <c r="W22" i="5"/>
  <c r="AC22" i="5"/>
  <c r="AD22" i="5"/>
  <c r="AE22" i="5"/>
  <c r="Y23" i="5"/>
  <c r="U23" i="5"/>
  <c r="Z23" i="5"/>
  <c r="V23" i="5"/>
  <c r="AA23" i="5"/>
  <c r="W23" i="5"/>
  <c r="AC23" i="5"/>
  <c r="AD23" i="5"/>
  <c r="AE23" i="5"/>
  <c r="U24" i="5"/>
  <c r="V24" i="5"/>
  <c r="W24" i="5"/>
  <c r="AC24" i="5"/>
  <c r="AD24" i="5"/>
  <c r="AE24" i="5"/>
  <c r="Y25" i="5"/>
  <c r="U25" i="5"/>
  <c r="Z25" i="5"/>
  <c r="V25" i="5"/>
  <c r="AA25" i="5"/>
  <c r="W25" i="5"/>
  <c r="AC25" i="5"/>
  <c r="AD25" i="5"/>
  <c r="AE25" i="5"/>
  <c r="U26" i="5"/>
  <c r="V26" i="5"/>
  <c r="W26" i="5"/>
  <c r="AC26" i="5"/>
  <c r="AD26" i="5"/>
  <c r="AE26" i="5"/>
  <c r="Y27" i="5"/>
  <c r="U27" i="5"/>
  <c r="Z27" i="5"/>
  <c r="V27" i="5"/>
  <c r="AA27" i="5"/>
  <c r="W27" i="5"/>
  <c r="AC27" i="5"/>
  <c r="AD27" i="5"/>
  <c r="AE27" i="5"/>
  <c r="U28" i="5"/>
  <c r="V28" i="5"/>
  <c r="W28" i="5"/>
  <c r="AC28" i="5"/>
  <c r="AD28" i="5"/>
  <c r="AE28" i="5"/>
  <c r="Y29" i="5"/>
  <c r="U29" i="5"/>
  <c r="Z29" i="5"/>
  <c r="V29" i="5"/>
  <c r="AA29" i="5"/>
  <c r="W29" i="5"/>
  <c r="AC29" i="5"/>
  <c r="AD29" i="5"/>
  <c r="AE29" i="5"/>
  <c r="U30" i="5"/>
  <c r="V30" i="5"/>
  <c r="W30" i="5"/>
  <c r="AC30" i="5"/>
  <c r="AD30" i="5"/>
  <c r="AE30" i="5"/>
  <c r="Y31" i="5"/>
  <c r="U31" i="5"/>
  <c r="Z31" i="5"/>
  <c r="V31" i="5"/>
  <c r="AA31" i="5"/>
  <c r="W31" i="5"/>
  <c r="AC31" i="5"/>
  <c r="AD31" i="5"/>
  <c r="AE31" i="5"/>
  <c r="U32" i="5"/>
  <c r="V32" i="5"/>
  <c r="W32" i="5"/>
  <c r="AC32" i="5"/>
  <c r="AD32" i="5"/>
  <c r="AE32" i="5"/>
  <c r="Y33" i="5"/>
  <c r="U33" i="5"/>
  <c r="Z33" i="5"/>
  <c r="V33" i="5"/>
  <c r="AA33" i="5"/>
  <c r="W33" i="5"/>
  <c r="AC33" i="5"/>
  <c r="AD33" i="5"/>
  <c r="AE33" i="5"/>
  <c r="U34" i="5"/>
  <c r="V34" i="5"/>
  <c r="W34" i="5"/>
  <c r="AC34" i="5"/>
  <c r="AD34" i="5"/>
  <c r="AE34" i="5"/>
  <c r="Y35" i="5"/>
  <c r="U35" i="5"/>
  <c r="Z35" i="5"/>
  <c r="V35" i="5"/>
  <c r="AA35" i="5"/>
  <c r="W35" i="5"/>
  <c r="AC35" i="5"/>
  <c r="AD35" i="5"/>
  <c r="AE35" i="5"/>
  <c r="U36" i="5"/>
  <c r="V36" i="5"/>
  <c r="W36" i="5"/>
  <c r="AC36" i="5"/>
  <c r="AD36" i="5"/>
  <c r="AE36" i="5"/>
  <c r="Y37" i="5"/>
  <c r="U37" i="5"/>
  <c r="Z37" i="5"/>
  <c r="V37" i="5"/>
  <c r="AA37" i="5"/>
  <c r="W37" i="5"/>
  <c r="AC37" i="5"/>
  <c r="AD37" i="5"/>
  <c r="AE37" i="5"/>
  <c r="U39" i="5"/>
  <c r="V39" i="5"/>
  <c r="W39" i="5"/>
  <c r="AC39" i="5"/>
  <c r="AD39" i="5"/>
  <c r="AE39" i="5"/>
  <c r="Y40" i="5"/>
  <c r="U40" i="5"/>
  <c r="Z40" i="5"/>
  <c r="V40" i="5"/>
  <c r="AA40" i="5"/>
  <c r="W40" i="5"/>
  <c r="AC40" i="5"/>
  <c r="AD40" i="5"/>
  <c r="AE40" i="5"/>
  <c r="U41" i="5"/>
  <c r="V41" i="5"/>
  <c r="W41" i="5"/>
  <c r="AC41" i="5"/>
  <c r="AD41" i="5"/>
  <c r="AE41" i="5"/>
  <c r="Y42" i="5"/>
  <c r="U42" i="5"/>
  <c r="Z42" i="5"/>
  <c r="V42" i="5"/>
  <c r="AA42" i="5"/>
  <c r="W42" i="5"/>
  <c r="AC42" i="5"/>
  <c r="AD42" i="5"/>
  <c r="AE42" i="5"/>
  <c r="U43" i="5"/>
  <c r="V43" i="5"/>
  <c r="W43" i="5"/>
  <c r="AC43" i="5"/>
  <c r="AD43" i="5"/>
  <c r="AE43" i="5"/>
  <c r="Y44" i="5"/>
  <c r="U44" i="5"/>
  <c r="Z44" i="5"/>
  <c r="V44" i="5"/>
  <c r="AA44" i="5"/>
  <c r="W44" i="5"/>
  <c r="AC44" i="5"/>
  <c r="AD44" i="5"/>
  <c r="AE44" i="5"/>
  <c r="U45" i="5"/>
  <c r="V45" i="5"/>
  <c r="W45" i="5"/>
  <c r="AC45" i="5"/>
  <c r="AD45" i="5"/>
  <c r="AE45" i="5"/>
  <c r="Y46" i="5"/>
  <c r="U46" i="5"/>
  <c r="Z46" i="5"/>
  <c r="V46" i="5"/>
  <c r="AA46" i="5"/>
  <c r="W46" i="5"/>
  <c r="AC46" i="5"/>
  <c r="AD46" i="5"/>
  <c r="AE46" i="5"/>
  <c r="U47" i="5"/>
  <c r="V47" i="5"/>
  <c r="W47" i="5"/>
  <c r="AC47" i="5"/>
  <c r="AD47" i="5"/>
  <c r="AE47" i="5"/>
  <c r="Y48" i="5"/>
  <c r="U48" i="5"/>
  <c r="Z48" i="5"/>
  <c r="V48" i="5"/>
  <c r="AA48" i="5"/>
  <c r="W48" i="5"/>
  <c r="AC48" i="5"/>
  <c r="AD48" i="5"/>
  <c r="AE48" i="5"/>
  <c r="U49" i="5"/>
  <c r="V49" i="5"/>
  <c r="W49" i="5"/>
  <c r="AC49" i="5"/>
  <c r="AD49" i="5"/>
  <c r="AE49" i="5"/>
  <c r="Y50" i="5"/>
  <c r="U50" i="5"/>
  <c r="Z50" i="5"/>
  <c r="V50" i="5"/>
  <c r="AA50" i="5"/>
  <c r="W50" i="5"/>
  <c r="AC50" i="5"/>
  <c r="AD50" i="5"/>
  <c r="AE50" i="5"/>
  <c r="U51" i="5"/>
  <c r="V51" i="5"/>
  <c r="W51" i="5"/>
  <c r="AC51" i="5"/>
  <c r="AD51" i="5"/>
  <c r="AE51" i="5"/>
  <c r="Y52" i="5"/>
  <c r="U52" i="5"/>
  <c r="Z52" i="5"/>
  <c r="V52" i="5"/>
  <c r="AA52" i="5"/>
  <c r="W52" i="5"/>
  <c r="AC52" i="5"/>
  <c r="AD52" i="5"/>
  <c r="AE52" i="5"/>
  <c r="U53" i="5"/>
  <c r="V53" i="5"/>
  <c r="W53" i="5"/>
  <c r="AC53" i="5"/>
  <c r="AD53" i="5"/>
  <c r="AE53" i="5"/>
  <c r="Y54" i="5"/>
  <c r="U54" i="5"/>
  <c r="Z54" i="5"/>
  <c r="V54" i="5"/>
  <c r="AA54" i="5"/>
  <c r="W54" i="5"/>
  <c r="AC54" i="5"/>
  <c r="AD54" i="5"/>
  <c r="AE54" i="5"/>
  <c r="U55" i="5"/>
  <c r="V55" i="5"/>
  <c r="W55" i="5"/>
  <c r="AC55" i="5"/>
  <c r="AD55" i="5"/>
  <c r="AE55" i="5"/>
  <c r="Y56" i="5"/>
  <c r="U56" i="5"/>
  <c r="Z56" i="5"/>
  <c r="V56" i="5"/>
  <c r="AA56" i="5"/>
  <c r="W56" i="5"/>
  <c r="AC56" i="5"/>
  <c r="AD56" i="5"/>
  <c r="AE56" i="5"/>
  <c r="U57" i="5"/>
  <c r="V57" i="5"/>
  <c r="W57" i="5"/>
  <c r="AC57" i="5"/>
  <c r="AD57" i="5"/>
  <c r="AE57" i="5"/>
  <c r="Y58" i="5"/>
  <c r="U58" i="5"/>
  <c r="Z58" i="5"/>
  <c r="V58" i="5"/>
  <c r="AA58" i="5"/>
  <c r="W58" i="5"/>
  <c r="AC58" i="5"/>
  <c r="AD58" i="5"/>
  <c r="AE58" i="5"/>
  <c r="U59" i="5"/>
  <c r="V59" i="5"/>
  <c r="W59" i="5"/>
  <c r="AC59" i="5"/>
  <c r="AD59" i="5"/>
  <c r="AE59" i="5"/>
  <c r="Y60" i="5"/>
  <c r="U60" i="5"/>
  <c r="Z60" i="5"/>
  <c r="V60" i="5"/>
  <c r="AA60" i="5"/>
  <c r="W60" i="5"/>
  <c r="AC60" i="5"/>
  <c r="AD60" i="5"/>
  <c r="AE60" i="5"/>
  <c r="U61" i="5"/>
  <c r="V61" i="5"/>
  <c r="W61" i="5"/>
  <c r="AC61" i="5"/>
  <c r="AD61" i="5"/>
  <c r="AE61" i="5"/>
  <c r="Y62" i="5"/>
  <c r="U62" i="5"/>
  <c r="Z62" i="5"/>
  <c r="V62" i="5"/>
  <c r="AA62" i="5"/>
  <c r="W62" i="5"/>
  <c r="AC62" i="5"/>
  <c r="AD62" i="5"/>
  <c r="AE62" i="5"/>
  <c r="U63" i="5"/>
  <c r="V63" i="5"/>
  <c r="W63" i="5"/>
  <c r="AC63" i="5"/>
  <c r="AD63" i="5"/>
  <c r="AE63" i="5"/>
  <c r="Y64" i="5"/>
  <c r="U64" i="5"/>
  <c r="Z64" i="5"/>
  <c r="V64" i="5"/>
  <c r="AA64" i="5"/>
  <c r="W64" i="5"/>
  <c r="AC64" i="5"/>
  <c r="AD64" i="5"/>
  <c r="AE64" i="5"/>
  <c r="U65" i="5"/>
  <c r="V65" i="5"/>
  <c r="W65" i="5"/>
  <c r="AC65" i="5"/>
  <c r="AD65" i="5"/>
  <c r="AE65" i="5"/>
  <c r="Y66" i="5"/>
  <c r="U66" i="5"/>
  <c r="Z66" i="5"/>
  <c r="V66" i="5"/>
  <c r="AA66" i="5"/>
  <c r="W66" i="5"/>
  <c r="AC66" i="5"/>
  <c r="AD66" i="5"/>
  <c r="AE66" i="5"/>
  <c r="U67" i="5"/>
  <c r="V67" i="5"/>
  <c r="W67" i="5"/>
  <c r="AC67" i="5"/>
  <c r="AD67" i="5"/>
  <c r="AE67" i="5"/>
  <c r="Y68" i="5"/>
  <c r="U68" i="5"/>
  <c r="Z68" i="5"/>
  <c r="V68" i="5"/>
  <c r="AA68" i="5"/>
  <c r="W68" i="5"/>
  <c r="AC68" i="5"/>
  <c r="AD68" i="5"/>
  <c r="AE68" i="5"/>
  <c r="U69" i="5"/>
  <c r="V69" i="5"/>
  <c r="W69" i="5"/>
  <c r="AC69" i="5"/>
  <c r="AD69" i="5"/>
  <c r="AE69" i="5"/>
  <c r="Y70" i="5"/>
  <c r="U70" i="5"/>
  <c r="Z70" i="5"/>
  <c r="V70" i="5"/>
  <c r="AA70" i="5"/>
  <c r="W70" i="5"/>
  <c r="AC70" i="5"/>
  <c r="AD70" i="5"/>
  <c r="AE70" i="5"/>
  <c r="AA72" i="5" l="1"/>
  <c r="Z72" i="5"/>
  <c r="Y72" i="5"/>
  <c r="AE72" i="5"/>
  <c r="AD72" i="5"/>
  <c r="AC72" i="5"/>
</calcChain>
</file>

<file path=xl/sharedStrings.xml><?xml version="1.0" encoding="utf-8"?>
<sst xmlns="http://schemas.openxmlformats.org/spreadsheetml/2006/main" count="783" uniqueCount="100">
  <si>
    <t>MODEL</t>
  </si>
  <si>
    <t>TRAIN. RES.</t>
  </si>
  <si>
    <t>RUN ID</t>
  </si>
  <si>
    <t>NORMALIZATION</t>
  </si>
  <si>
    <t>EVALUATION TECHNIQUE (for lower res.)</t>
  </si>
  <si>
    <t>EVAL. RES.</t>
  </si>
  <si>
    <t>HIDDEN CH.</t>
  </si>
  <si>
    <t>LAYER NUM.</t>
  </si>
  <si>
    <t>EVALUATION</t>
  </si>
  <si>
    <t>% DIFF. wrt baseline [fp32]</t>
  </si>
  <si>
    <t>% DIFF. wrt no NORMALIZATION [fp32]</t>
  </si>
  <si>
    <t xml:space="preserve">% DIFF. between fp32 and int8 </t>
  </si>
  <si>
    <t>EVALUATION with NO QUANTIZATION [fp32]</t>
  </si>
  <si>
    <t>EVALUATION with QUANTIZATION [int8]</t>
  </si>
  <si>
    <t>QUANTIZATION MIN. and MAX. negative bounds
(PTQ on Conv. and LIFs, 1000 batches of calibration)</t>
  </si>
  <si>
    <t>AVERAGE VALUES [fp32]</t>
  </si>
  <si>
    <t>AVERAGE VALUES [int8] - QUANTIZATION</t>
  </si>
  <si>
    <t>indoor_flying 1</t>
  </si>
  <si>
    <t>indoor_flying 2</t>
  </si>
  <si>
    <t>indoor_flying 3</t>
  </si>
  <si>
    <t>outdoor_day 1</t>
  </si>
  <si>
    <t>AEE ↓ (pixel)</t>
  </si>
  <si>
    <t>AAE ↓ (rad)</t>
  </si>
  <si>
    <t>AAE ↓ (degrees)</t>
  </si>
  <si>
    <t>AE of Avg ↓ (rad)</t>
  </si>
  <si>
    <t>AE of Avg ↓ (degrees)</t>
  </si>
  <si>
    <t>AEE</t>
  </si>
  <si>
    <t>AAE</t>
  </si>
  <si>
    <t>AE of Avg.</t>
  </si>
  <si>
    <t>AEE ↓</t>
  </si>
  <si>
    <t>AAE ↓</t>
  </si>
  <si>
    <t>AE of Avg ↓</t>
  </si>
  <si>
    <t>TYPE train.</t>
  </si>
  <si>
    <t>dt = 1</t>
  </si>
  <si>
    <t>dt = 4</t>
  </si>
  <si>
    <t>LIF FN (baseline)</t>
  </si>
  <si>
    <t>128x128</t>
  </si>
  <si>
    <t>e1965c33f8214d139624d7e08c7ec9c1</t>
  </si>
  <si>
    <t>-</t>
  </si>
  <si>
    <t>256x256</t>
  </si>
  <si>
    <t>lower loss</t>
  </si>
  <si>
    <t>[-15, -300]</t>
  </si>
  <si>
    <t>ebbe836259ba488fa1714c7c36a5b3da</t>
  </si>
  <si>
    <t>BN</t>
  </si>
  <si>
    <t>LIF FN</t>
  </si>
  <si>
    <t>average pooling (input), nearest neighbour interpolation (output) &amp; adaptive flow scaling</t>
  </si>
  <si>
    <t>[-15, -250]</t>
  </si>
  <si>
    <t>64x64</t>
  </si>
  <si>
    <t>32x32</t>
  </si>
  <si>
    <t>LIF FN 16ch</t>
  </si>
  <si>
    <t>b6764e1aa848462c89dc70ea9d99246e</t>
  </si>
  <si>
    <t>[-15, -100]</t>
  </si>
  <si>
    <t>66c2e7eb3dd747b3a3ae529768871836</t>
  </si>
  <si>
    <t>LIF FN 8ch</t>
  </si>
  <si>
    <t>b41ac25a81064a72ac818dce9b25d4d6</t>
  </si>
  <si>
    <t>[-10, -100]</t>
  </si>
  <si>
    <t>5beef02b4ac2463dae9c68dd90c03fb9</t>
  </si>
  <si>
    <t>LIF FN 4ch</t>
  </si>
  <si>
    <t>d27de9a1834748f8857b891ab6eba05e</t>
  </si>
  <si>
    <t>3c0f8ac17d254580a4f0246320bbb095</t>
  </si>
  <si>
    <t>LIF FN short</t>
  </si>
  <si>
    <t>bb4ece23356043fca1204176cb270c7d</t>
  </si>
  <si>
    <t>[-15, -150]</t>
  </si>
  <si>
    <t>1b39ec58c0094ee7b8e27c46d46f7935</t>
  </si>
  <si>
    <t>LIF FN short 16ch</t>
  </si>
  <si>
    <t>7b3c8e69807d44c79abc682e96ff57e1</t>
  </si>
  <si>
    <t>71c14720756d4f2aa2ff957ad96c71fc</t>
  </si>
  <si>
    <t>most recent</t>
  </si>
  <si>
    <t>9de5f4a3c2e442fab8ce686d5afa99ec</t>
  </si>
  <si>
    <t>LIF FN short 8ch</t>
  </si>
  <si>
    <t>b61534e5119a4704a66638c1ba78f308</t>
  </si>
  <si>
    <t>23b1cb23745747f590a297d9b0027460</t>
  </si>
  <si>
    <t>LIF FN short 4ch</t>
  </si>
  <si>
    <t>4ea97793680843e99fd7aaffc2a717ef</t>
  </si>
  <si>
    <t>09911d92cbaf435ba7179e8466156d5c</t>
  </si>
  <si>
    <t>AVERAGES</t>
  </si>
  <si>
    <t>EVALUATION [fp32]</t>
  </si>
  <si>
    <t>EVALUATION [int8]</t>
  </si>
  <si>
    <t>FREQUENCY [MHz]</t>
  </si>
  <si>
    <t>L1 [kB]</t>
  </si>
  <si>
    <t>L2 [MB]</t>
  </si>
  <si>
    <t>L3 [MB]</t>
  </si>
  <si>
    <t>OUTPUT CHECK</t>
  </si>
  <si>
    <t>MEMORY LEVEL</t>
  </si>
  <si>
    <t>AVERAGE ERRORS</t>
  </si>
  <si>
    <t>MEMORY USAGE [MB]</t>
  </si>
  <si>
    <t>MAC
[M ops.]</t>
  </si>
  <si>
    <t>LATENCY [M cycles]</t>
  </si>
  <si>
    <t>THROUGHPUT [FPS]</t>
  </si>
  <si>
    <t>IPC</t>
  </si>
  <si>
    <t>CPI</t>
  </si>
  <si>
    <t>THROUGHPUT [Hz]</t>
  </si>
  <si>
    <t>TOT</t>
  </si>
  <si>
    <t>STATIC</t>
  </si>
  <si>
    <t>DYNAMIC</t>
  </si>
  <si>
    <t>QUANTIZATION MAC % OVERHEAD</t>
  </si>
  <si>
    <t>LATENCY % REDUCTION</t>
  </si>
  <si>
    <t>THROUGHPUT % SPEEDUP</t>
  </si>
  <si>
    <t>L3</t>
  </si>
  <si>
    <t>L2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</si>
</sst>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0"/>
    <numFmt numFmtId="165" formatCode="0.000"/>
    <numFmt numFmtId="166" formatCode="0.0"/>
  </numFmts>
  <fonts count="35">
    <font>
      <sz val="11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4"/>
      <color theme="1"/>
      <name val="Arial"/>
      <charset val="1"/>
    </font>
    <font>
      <sz val="14"/>
      <color theme="1"/>
      <name val="Arial"/>
      <charset val="1"/>
    </font>
    <font>
      <b/>
      <i/>
      <sz val="14"/>
      <color theme="1"/>
      <name val="Arial"/>
      <charset val="1"/>
    </font>
    <font>
      <b/>
      <sz val="11"/>
      <color theme="1"/>
      <name val="Arial"/>
    </font>
    <font>
      <b/>
      <sz val="15"/>
      <color theme="1"/>
      <name val="Arial"/>
    </font>
    <font>
      <b/>
      <sz val="15"/>
      <color rgb="FF34A853"/>
      <name val="Arial"/>
    </font>
    <font>
      <b/>
      <sz val="15"/>
      <color rgb="FF00B050"/>
      <name val="Arial"/>
    </font>
    <font>
      <b/>
      <sz val="18"/>
      <color theme="1"/>
      <name val="Arial"/>
    </font>
    <font>
      <b/>
      <sz val="16"/>
      <color theme="1"/>
      <name val="Arial"/>
    </font>
    <font>
      <b/>
      <sz val="15"/>
      <color theme="1"/>
      <name val="Arial"/>
      <family val="2"/>
    </font>
    <font>
      <b/>
      <sz val="16"/>
      <color theme="1"/>
      <name val="Arial"/>
      <family val="2"/>
    </font>
    <font>
      <b/>
      <sz val="14"/>
      <color theme="1"/>
      <name val="Arial"/>
      <family val="2"/>
    </font>
    <font>
      <b/>
      <sz val="18"/>
      <color theme="1"/>
      <name val="Arial"/>
      <family val="2"/>
    </font>
    <font>
      <b/>
      <sz val="20"/>
      <color theme="1"/>
      <name val="Arial"/>
      <family val="2"/>
    </font>
    <font>
      <b/>
      <sz val="15"/>
      <color theme="1"/>
      <name val="Arial"/>
      <charset val="1"/>
    </font>
    <font>
      <b/>
      <sz val="15"/>
      <color rgb="FF000000"/>
      <name val="Arial"/>
    </font>
    <font>
      <b/>
      <sz val="11"/>
      <color rgb="FF000000"/>
      <name val="Arial"/>
    </font>
    <font>
      <b/>
      <sz val="14"/>
      <color rgb="FF000000"/>
      <name val="Arial"/>
    </font>
    <font>
      <sz val="12"/>
      <color theme="1"/>
      <name val="Arial"/>
    </font>
    <font>
      <b/>
      <sz val="16"/>
      <color theme="1"/>
      <name val="Calibri"/>
      <family val="2"/>
      <scheme val="minor"/>
    </font>
    <font>
      <b/>
      <sz val="10"/>
      <color theme="1"/>
      <name val="Arial"/>
    </font>
    <font>
      <b/>
      <sz val="9"/>
      <color theme="1"/>
      <name val="Arial"/>
    </font>
    <font>
      <b/>
      <sz val="15"/>
      <color rgb="FFC00000"/>
      <name val="Arial"/>
    </font>
    <font>
      <b/>
      <sz val="15"/>
      <color theme="9"/>
      <name val="Arial"/>
    </font>
    <font>
      <sz val="14"/>
      <color theme="1"/>
      <name val="Arial"/>
    </font>
    <font>
      <sz val="15"/>
      <color theme="1"/>
      <name val="Arial"/>
    </font>
    <font>
      <sz val="14"/>
      <color rgb="FFC00000"/>
      <name val="Arial"/>
    </font>
    <font>
      <b/>
      <strike/>
      <sz val="15"/>
      <color rgb="FFC00000"/>
      <name val="Arial"/>
    </font>
    <font>
      <sz val="16"/>
      <color theme="1"/>
      <name val="Arial"/>
    </font>
    <font>
      <b/>
      <sz val="12"/>
      <color theme="1"/>
      <name val="Arial"/>
    </font>
    <font>
      <sz val="11"/>
      <color theme="1"/>
      <name val="Arial"/>
    </font>
  </fonts>
  <fills count="11">
    <fill>
      <patternFill patternType="none"/>
    </fill>
    <fill>
      <patternFill patternType="gray125"/>
    </fill>
    <fill>
      <patternFill patternType="solid">
        <fgColor rgb="FFFFF2CC"/>
        <bgColor indexed="64"/>
      </patternFill>
    </fill>
    <fill>
      <patternFill patternType="solid">
        <fgColor rgb="FFC9DAF8"/>
        <bgColor indexed="64"/>
      </patternFill>
    </fill>
    <fill>
      <patternFill patternType="solid">
        <fgColor rgb="FFD9EAD3"/>
        <bgColor indexed="64"/>
      </patternFill>
    </fill>
    <fill>
      <patternFill patternType="solid">
        <fgColor rgb="FFEAD1DC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1DFE7"/>
        <bgColor indexed="64"/>
      </patternFill>
    </fill>
  </fills>
  <borders count="3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CCCCCC"/>
      </left>
      <right style="thin">
        <color rgb="FF000000"/>
      </right>
      <top style="thin">
        <color rgb="FF000000"/>
      </top>
      <bottom/>
      <diagonal/>
    </border>
    <border>
      <left style="thin">
        <color rgb="FFCCCCCC"/>
      </left>
      <right style="thin">
        <color rgb="FF000000"/>
      </right>
      <top/>
      <bottom/>
      <diagonal/>
    </border>
    <border>
      <left style="thin">
        <color rgb="FFCCCCCC"/>
      </left>
      <right style="thin">
        <color rgb="FF000000"/>
      </right>
      <top/>
      <bottom style="thin">
        <color rgb="FF000000"/>
      </bottom>
      <diagonal/>
    </border>
    <border>
      <left style="thin">
        <color rgb="FFCCCCCC"/>
      </left>
      <right style="thin">
        <color rgb="FF000000"/>
      </right>
      <top style="thin">
        <color rgb="FFCCCCCC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CCCCCC"/>
      </left>
      <right/>
      <top/>
      <bottom style="thin">
        <color rgb="FF000000"/>
      </bottom>
      <diagonal/>
    </border>
    <border>
      <left style="thin">
        <color rgb="FFCCCCCC"/>
      </left>
      <right/>
      <top/>
      <bottom/>
      <diagonal/>
    </border>
    <border>
      <left/>
      <right/>
      <top style="thin">
        <color rgb="FF000000"/>
      </top>
      <bottom/>
      <diagonal/>
    </border>
    <border>
      <left style="thin">
        <color indexed="64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indexed="64"/>
      </right>
      <top style="thin">
        <color rgb="FF000000"/>
      </top>
      <bottom/>
      <diagonal/>
    </border>
    <border>
      <left style="thin">
        <color rgb="FF000000"/>
      </left>
      <right style="thin">
        <color indexed="64"/>
      </right>
      <top/>
      <bottom/>
      <diagonal/>
    </border>
    <border>
      <left style="thin">
        <color rgb="FF000000"/>
      </left>
      <right style="thin">
        <color indexed="64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rgb="FF000000"/>
      </right>
      <top style="thin">
        <color rgb="FFCCCCCC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indexed="64"/>
      </left>
      <right style="thin">
        <color rgb="FF000000"/>
      </right>
      <top/>
      <bottom/>
      <diagonal/>
    </border>
    <border>
      <left style="thin">
        <color indexed="64"/>
      </left>
      <right/>
      <top style="thin">
        <color rgb="FF000000"/>
      </top>
      <bottom/>
      <diagonal/>
    </border>
  </borders>
  <cellStyleXfs count="1">
    <xf numFmtId="0" fontId="0" fillId="0" borderId="0"/>
  </cellStyleXfs>
  <cellXfs count="223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6" fillId="3" borderId="12" xfId="0" applyFont="1" applyFill="1" applyBorder="1" applyAlignment="1">
      <alignment horizontal="center" vertical="center" wrapText="1" readingOrder="1"/>
    </xf>
    <xf numFmtId="0" fontId="6" fillId="4" borderId="12" xfId="0" applyFont="1" applyFill="1" applyBorder="1" applyAlignment="1">
      <alignment horizontal="center" vertical="center" wrapText="1" readingOrder="1"/>
    </xf>
    <xf numFmtId="0" fontId="6" fillId="5" borderId="12" xfId="0" applyFont="1" applyFill="1" applyBorder="1" applyAlignment="1">
      <alignment horizontal="center" vertical="center" wrapText="1" readingOrder="1"/>
    </xf>
    <xf numFmtId="0" fontId="5" fillId="0" borderId="0" xfId="0" applyFont="1" applyAlignment="1">
      <alignment horizontal="center" vertical="center" readingOrder="1"/>
    </xf>
    <xf numFmtId="0" fontId="7" fillId="0" borderId="0" xfId="0" applyFont="1"/>
    <xf numFmtId="0" fontId="8" fillId="0" borderId="0" xfId="0" applyFont="1"/>
    <xf numFmtId="0" fontId="8" fillId="0" borderId="1" xfId="0" applyFont="1" applyBorder="1" applyAlignment="1">
      <alignment horizontal="center" vertical="center" wrapText="1"/>
    </xf>
    <xf numFmtId="0" fontId="8" fillId="0" borderId="0" xfId="0" applyFont="1" applyAlignment="1">
      <alignment readingOrder="1"/>
    </xf>
    <xf numFmtId="2" fontId="11" fillId="3" borderId="1" xfId="0" applyNumberFormat="1" applyFont="1" applyFill="1" applyBorder="1" applyAlignment="1">
      <alignment horizontal="center" vertical="center" wrapText="1" readingOrder="1"/>
    </xf>
    <xf numFmtId="2" fontId="11" fillId="4" borderId="1" xfId="0" applyNumberFormat="1" applyFont="1" applyFill="1" applyBorder="1" applyAlignment="1">
      <alignment horizontal="center" vertical="center" wrapText="1" readingOrder="1"/>
    </xf>
    <xf numFmtId="2" fontId="11" fillId="5" borderId="1" xfId="0" applyNumberFormat="1" applyFont="1" applyFill="1" applyBorder="1" applyAlignment="1">
      <alignment horizontal="center" vertical="center" wrapText="1" readingOrder="1"/>
    </xf>
    <xf numFmtId="2" fontId="11" fillId="5" borderId="5" xfId="0" applyNumberFormat="1" applyFont="1" applyFill="1" applyBorder="1" applyAlignment="1">
      <alignment horizontal="center" vertical="center" wrapText="1" readingOrder="1"/>
    </xf>
    <xf numFmtId="0" fontId="11" fillId="0" borderId="0" xfId="0" applyFont="1"/>
    <xf numFmtId="0" fontId="4" fillId="0" borderId="16" xfId="0" applyFont="1" applyBorder="1" applyAlignment="1">
      <alignment vertical="center" wrapText="1" readingOrder="1"/>
    </xf>
    <xf numFmtId="0" fontId="4" fillId="0" borderId="0" xfId="0" applyFont="1" applyAlignment="1">
      <alignment vertical="center" wrapText="1" readingOrder="1"/>
    </xf>
    <xf numFmtId="0" fontId="4" fillId="0" borderId="6" xfId="0" applyFont="1" applyBorder="1" applyAlignment="1">
      <alignment vertical="center" wrapText="1" readingOrder="1"/>
    </xf>
    <xf numFmtId="0" fontId="4" fillId="0" borderId="13" xfId="0" applyFont="1" applyBorder="1" applyAlignment="1">
      <alignment vertical="center" wrapText="1" readingOrder="1"/>
    </xf>
    <xf numFmtId="166" fontId="8" fillId="0" borderId="0" xfId="0" applyNumberFormat="1" applyFont="1" applyAlignment="1">
      <alignment horizontal="center" vertical="center"/>
    </xf>
    <xf numFmtId="0" fontId="12" fillId="0" borderId="0" xfId="0" applyFont="1" applyAlignment="1">
      <alignment horizontal="center" vertical="center"/>
    </xf>
    <xf numFmtId="2" fontId="11" fillId="0" borderId="0" xfId="0" applyNumberFormat="1" applyFont="1" applyAlignment="1">
      <alignment horizontal="center" vertical="center" wrapText="1" readingOrder="1"/>
    </xf>
    <xf numFmtId="0" fontId="4" fillId="0" borderId="0" xfId="0" applyFont="1" applyAlignment="1">
      <alignment horizontal="center" vertical="center" wrapText="1" readingOrder="1"/>
    </xf>
    <xf numFmtId="0" fontId="4" fillId="0" borderId="0" xfId="0" applyFont="1" applyAlignment="1">
      <alignment horizontal="center" vertical="center" readingOrder="1"/>
    </xf>
    <xf numFmtId="166" fontId="8" fillId="0" borderId="0" xfId="0" applyNumberFormat="1" applyFont="1" applyAlignment="1">
      <alignment horizontal="center" vertical="center" wrapText="1" readingOrder="1"/>
    </xf>
    <xf numFmtId="166" fontId="8" fillId="0" borderId="7" xfId="0" applyNumberFormat="1" applyFont="1" applyBorder="1" applyAlignment="1">
      <alignment horizontal="center" vertical="center" wrapText="1" readingOrder="1"/>
    </xf>
    <xf numFmtId="0" fontId="12" fillId="0" borderId="7" xfId="0" applyFont="1" applyBorder="1" applyAlignment="1">
      <alignment horizontal="center" vertical="center" wrapText="1" readingOrder="1"/>
    </xf>
    <xf numFmtId="166" fontId="12" fillId="0" borderId="7" xfId="0" applyNumberFormat="1" applyFont="1" applyBorder="1" applyAlignment="1">
      <alignment horizontal="center" vertical="center" wrapText="1"/>
    </xf>
    <xf numFmtId="166" fontId="8" fillId="0" borderId="23" xfId="0" applyNumberFormat="1" applyFont="1" applyBorder="1" applyAlignment="1">
      <alignment horizontal="center" vertical="center" wrapText="1" readingOrder="1"/>
    </xf>
    <xf numFmtId="166" fontId="12" fillId="0" borderId="23" xfId="0" applyNumberFormat="1" applyFont="1" applyBorder="1" applyAlignment="1">
      <alignment horizontal="center" vertical="center" wrapText="1"/>
    </xf>
    <xf numFmtId="2" fontId="11" fillId="9" borderId="1" xfId="0" applyNumberFormat="1" applyFont="1" applyFill="1" applyBorder="1" applyAlignment="1">
      <alignment horizontal="center" vertical="center" wrapText="1" readingOrder="1"/>
    </xf>
    <xf numFmtId="164" fontId="7" fillId="9" borderId="1" xfId="0" applyNumberFormat="1" applyFont="1" applyFill="1" applyBorder="1" applyAlignment="1">
      <alignment horizontal="center" vertical="center" wrapText="1" readingOrder="1"/>
    </xf>
    <xf numFmtId="165" fontId="7" fillId="9" borderId="1" xfId="0" applyNumberFormat="1" applyFont="1" applyFill="1" applyBorder="1" applyAlignment="1">
      <alignment horizontal="center" vertical="center" wrapText="1" readingOrder="1"/>
    </xf>
    <xf numFmtId="2" fontId="11" fillId="8" borderId="1" xfId="0" applyNumberFormat="1" applyFont="1" applyFill="1" applyBorder="1" applyAlignment="1">
      <alignment horizontal="center" vertical="center" wrapText="1" readingOrder="1"/>
    </xf>
    <xf numFmtId="164" fontId="7" fillId="8" borderId="1" xfId="0" applyNumberFormat="1" applyFont="1" applyFill="1" applyBorder="1" applyAlignment="1">
      <alignment horizontal="center" vertical="center" wrapText="1" readingOrder="1"/>
    </xf>
    <xf numFmtId="165" fontId="7" fillId="8" borderId="1" xfId="0" applyNumberFormat="1" applyFont="1" applyFill="1" applyBorder="1" applyAlignment="1">
      <alignment horizontal="center" vertical="center" wrapText="1" readingOrder="1"/>
    </xf>
    <xf numFmtId="2" fontId="11" fillId="10" borderId="1" xfId="0" applyNumberFormat="1" applyFont="1" applyFill="1" applyBorder="1" applyAlignment="1">
      <alignment horizontal="center" vertical="center" wrapText="1" readingOrder="1"/>
    </xf>
    <xf numFmtId="164" fontId="7" fillId="10" borderId="1" xfId="0" applyNumberFormat="1" applyFont="1" applyFill="1" applyBorder="1" applyAlignment="1">
      <alignment horizontal="center" vertical="center" wrapText="1" readingOrder="1"/>
    </xf>
    <xf numFmtId="165" fontId="7" fillId="10" borderId="1" xfId="0" applyNumberFormat="1" applyFont="1" applyFill="1" applyBorder="1" applyAlignment="1">
      <alignment horizontal="center" vertical="center" wrapText="1" readingOrder="1"/>
    </xf>
    <xf numFmtId="0" fontId="12" fillId="0" borderId="0" xfId="0" applyFont="1" applyAlignment="1">
      <alignment horizontal="center" vertical="center" wrapText="1" readingOrder="1"/>
    </xf>
    <xf numFmtId="166" fontId="12" fillId="0" borderId="0" xfId="0" applyNumberFormat="1" applyFont="1" applyAlignment="1">
      <alignment horizontal="center" vertical="center" wrapText="1"/>
    </xf>
    <xf numFmtId="0" fontId="12" fillId="0" borderId="0" xfId="0" applyFont="1" applyAlignment="1">
      <alignment horizontal="center" vertical="center" wrapText="1"/>
    </xf>
    <xf numFmtId="0" fontId="8" fillId="0" borderId="0" xfId="0" applyFont="1" applyAlignment="1">
      <alignment horizontal="center" vertical="center" wrapText="1" readingOrder="1"/>
    </xf>
    <xf numFmtId="0" fontId="10" fillId="0" borderId="0" xfId="0" applyFont="1" applyAlignment="1">
      <alignment horizontal="center" vertical="center" wrapText="1"/>
    </xf>
    <xf numFmtId="0" fontId="9" fillId="0" borderId="0" xfId="0" applyFont="1" applyAlignment="1">
      <alignment horizontal="center" vertical="center" wrapText="1" readingOrder="1"/>
    </xf>
    <xf numFmtId="164" fontId="7" fillId="0" borderId="0" xfId="0" applyNumberFormat="1" applyFont="1" applyAlignment="1">
      <alignment horizontal="center" vertical="center" wrapText="1" readingOrder="1"/>
    </xf>
    <xf numFmtId="166" fontId="8" fillId="0" borderId="22" xfId="0" applyNumberFormat="1" applyFont="1" applyBorder="1" applyAlignment="1">
      <alignment horizontal="center" vertical="center" wrapText="1" readingOrder="1"/>
    </xf>
    <xf numFmtId="0" fontId="8" fillId="0" borderId="0" xfId="0" applyFont="1" applyAlignment="1">
      <alignment horizontal="center" vertical="center"/>
    </xf>
    <xf numFmtId="166" fontId="12" fillId="0" borderId="7" xfId="0" applyNumberFormat="1" applyFont="1" applyBorder="1" applyAlignment="1">
      <alignment horizontal="center" vertical="center" wrapText="1" readingOrder="1"/>
    </xf>
    <xf numFmtId="0" fontId="12" fillId="0" borderId="24" xfId="0" applyFont="1" applyBorder="1" applyAlignment="1">
      <alignment horizontal="center" vertical="center" wrapText="1" readingOrder="1"/>
    </xf>
    <xf numFmtId="166" fontId="12" fillId="0" borderId="25" xfId="0" applyNumberFormat="1" applyFont="1" applyBorder="1" applyAlignment="1">
      <alignment horizontal="center" vertical="center" wrapText="1"/>
    </xf>
    <xf numFmtId="166" fontId="12" fillId="0" borderId="24" xfId="0" applyNumberFormat="1" applyFont="1" applyBorder="1" applyAlignment="1">
      <alignment horizontal="center" vertical="center" wrapText="1"/>
    </xf>
    <xf numFmtId="166" fontId="12" fillId="0" borderId="24" xfId="0" applyNumberFormat="1" applyFont="1" applyBorder="1" applyAlignment="1">
      <alignment horizontal="center" vertical="center" wrapText="1" readingOrder="1"/>
    </xf>
    <xf numFmtId="166" fontId="12" fillId="0" borderId="1" xfId="0" applyNumberFormat="1" applyFont="1" applyBorder="1" applyAlignment="1">
      <alignment horizontal="center" vertical="center" wrapText="1" readingOrder="1"/>
    </xf>
    <xf numFmtId="166" fontId="12" fillId="0" borderId="0" xfId="0" applyNumberFormat="1" applyFont="1" applyAlignment="1">
      <alignment horizontal="center" vertical="center"/>
    </xf>
    <xf numFmtId="166" fontId="8" fillId="0" borderId="24" xfId="0" applyNumberFormat="1" applyFont="1" applyBorder="1" applyAlignment="1">
      <alignment horizontal="center" vertical="center" wrapText="1" readingOrder="1"/>
    </xf>
    <xf numFmtId="166" fontId="8" fillId="0" borderId="25" xfId="0" applyNumberFormat="1" applyFont="1" applyBorder="1" applyAlignment="1">
      <alignment horizontal="center" vertical="center" wrapText="1" readingOrder="1"/>
    </xf>
    <xf numFmtId="166" fontId="8" fillId="0" borderId="26" xfId="0" applyNumberFormat="1" applyFont="1" applyBorder="1" applyAlignment="1">
      <alignment horizontal="center" vertical="center" wrapText="1" readingOrder="1"/>
    </xf>
    <xf numFmtId="166" fontId="18" fillId="0" borderId="1" xfId="0" applyNumberFormat="1" applyFont="1" applyBorder="1" applyAlignment="1">
      <alignment horizontal="center" vertical="center" wrapText="1" readingOrder="1"/>
    </xf>
    <xf numFmtId="166" fontId="18" fillId="0" borderId="0" xfId="0" applyNumberFormat="1" applyFont="1" applyAlignment="1">
      <alignment horizontal="center" vertical="center" wrapText="1" readingOrder="1"/>
    </xf>
    <xf numFmtId="166" fontId="18" fillId="0" borderId="2" xfId="0" applyNumberFormat="1" applyFont="1" applyBorder="1" applyAlignment="1">
      <alignment horizontal="center" vertical="center" wrapText="1" readingOrder="1"/>
    </xf>
    <xf numFmtId="166" fontId="12" fillId="0" borderId="2" xfId="0" applyNumberFormat="1" applyFont="1" applyBorder="1" applyAlignment="1">
      <alignment horizontal="center" vertical="center" wrapText="1" readingOrder="1"/>
    </xf>
    <xf numFmtId="0" fontId="4" fillId="0" borderId="4" xfId="0" applyFont="1" applyBorder="1" applyAlignment="1">
      <alignment vertical="center" wrapText="1" readingOrder="1"/>
    </xf>
    <xf numFmtId="166" fontId="16" fillId="0" borderId="25" xfId="0" applyNumberFormat="1" applyFont="1" applyBorder="1" applyAlignment="1">
      <alignment horizontal="center" vertical="center"/>
    </xf>
    <xf numFmtId="166" fontId="16" fillId="0" borderId="23" xfId="0" applyNumberFormat="1" applyFont="1" applyBorder="1" applyAlignment="1">
      <alignment horizontal="center" vertical="center"/>
    </xf>
    <xf numFmtId="166" fontId="11" fillId="0" borderId="4" xfId="0" applyNumberFormat="1" applyFont="1" applyBorder="1" applyAlignment="1">
      <alignment horizontal="center" vertical="center"/>
    </xf>
    <xf numFmtId="2" fontId="12" fillId="0" borderId="24" xfId="0" applyNumberFormat="1" applyFont="1" applyBorder="1" applyAlignment="1">
      <alignment horizontal="center" vertical="center" wrapText="1"/>
    </xf>
    <xf numFmtId="2" fontId="12" fillId="0" borderId="7" xfId="0" applyNumberFormat="1" applyFont="1" applyBorder="1" applyAlignment="1">
      <alignment horizontal="center" vertical="center" wrapText="1"/>
    </xf>
    <xf numFmtId="166" fontId="12" fillId="0" borderId="26" xfId="0" applyNumberFormat="1" applyFont="1" applyBorder="1" applyAlignment="1">
      <alignment horizontal="center" vertical="center" wrapText="1"/>
    </xf>
    <xf numFmtId="166" fontId="12" fillId="0" borderId="22" xfId="0" applyNumberFormat="1" applyFont="1" applyBorder="1" applyAlignment="1">
      <alignment horizontal="center" vertical="center" wrapText="1"/>
    </xf>
    <xf numFmtId="164" fontId="20" fillId="3" borderId="1" xfId="0" applyNumberFormat="1" applyFont="1" applyFill="1" applyBorder="1" applyAlignment="1">
      <alignment horizontal="center" vertical="center" wrapText="1" readingOrder="1"/>
    </xf>
    <xf numFmtId="164" fontId="20" fillId="4" borderId="1" xfId="0" applyNumberFormat="1" applyFont="1" applyFill="1" applyBorder="1" applyAlignment="1">
      <alignment horizontal="center" vertical="center" wrapText="1" readingOrder="1"/>
    </xf>
    <xf numFmtId="164" fontId="20" fillId="5" borderId="1" xfId="0" applyNumberFormat="1" applyFont="1" applyFill="1" applyBorder="1" applyAlignment="1">
      <alignment horizontal="center" vertical="center" wrapText="1" readingOrder="1"/>
    </xf>
    <xf numFmtId="0" fontId="6" fillId="3" borderId="27" xfId="0" applyFont="1" applyFill="1" applyBorder="1" applyAlignment="1">
      <alignment horizontal="center" vertical="center" wrapText="1" readingOrder="1"/>
    </xf>
    <xf numFmtId="164" fontId="20" fillId="3" borderId="6" xfId="0" applyNumberFormat="1" applyFont="1" applyFill="1" applyBorder="1" applyAlignment="1">
      <alignment horizontal="center" vertical="center" wrapText="1" readingOrder="1"/>
    </xf>
    <xf numFmtId="165" fontId="20" fillId="3" borderId="6" xfId="0" applyNumberFormat="1" applyFont="1" applyFill="1" applyBorder="1" applyAlignment="1">
      <alignment horizontal="center" vertical="center" wrapText="1" readingOrder="1"/>
    </xf>
    <xf numFmtId="165" fontId="20" fillId="3" borderId="1" xfId="0" applyNumberFormat="1" applyFont="1" applyFill="1" applyBorder="1" applyAlignment="1">
      <alignment horizontal="center" vertical="center" wrapText="1" readingOrder="1"/>
    </xf>
    <xf numFmtId="165" fontId="20" fillId="4" borderId="1" xfId="0" applyNumberFormat="1" applyFont="1" applyFill="1" applyBorder="1" applyAlignment="1">
      <alignment horizontal="center" vertical="center" wrapText="1" readingOrder="1"/>
    </xf>
    <xf numFmtId="165" fontId="20" fillId="5" borderId="1" xfId="0" applyNumberFormat="1" applyFont="1" applyFill="1" applyBorder="1" applyAlignment="1">
      <alignment horizontal="center" vertical="center" wrapText="1" readingOrder="1"/>
    </xf>
    <xf numFmtId="0" fontId="19" fillId="0" borderId="0" xfId="0" applyFont="1"/>
    <xf numFmtId="0" fontId="19" fillId="0" borderId="1" xfId="0" applyFont="1" applyBorder="1" applyAlignment="1">
      <alignment horizontal="center" vertical="center" wrapText="1"/>
    </xf>
    <xf numFmtId="0" fontId="19" fillId="0" borderId="1" xfId="0" quotePrefix="1" applyFont="1" applyBorder="1" applyAlignment="1">
      <alignment horizontal="center" vertical="center" wrapText="1" readingOrder="1"/>
    </xf>
    <xf numFmtId="0" fontId="19" fillId="0" borderId="1" xfId="0" applyFont="1" applyBorder="1" applyAlignment="1">
      <alignment horizontal="center" vertical="center" wrapText="1" readingOrder="1"/>
    </xf>
    <xf numFmtId="0" fontId="8" fillId="0" borderId="5" xfId="0" applyFont="1" applyBorder="1" applyAlignment="1">
      <alignment horizontal="center" vertical="center" wrapText="1"/>
    </xf>
    <xf numFmtId="0" fontId="10" fillId="6" borderId="5" xfId="0" applyFont="1" applyFill="1" applyBorder="1" applyAlignment="1">
      <alignment horizontal="center" vertical="center" wrapText="1"/>
    </xf>
    <xf numFmtId="0" fontId="10" fillId="0" borderId="5" xfId="0" applyFont="1" applyBorder="1" applyAlignment="1">
      <alignment horizontal="center" vertical="center" wrapText="1"/>
    </xf>
    <xf numFmtId="0" fontId="24" fillId="0" borderId="1" xfId="0" applyFont="1" applyBorder="1" applyAlignment="1">
      <alignment horizontal="center" vertical="center" wrapText="1"/>
    </xf>
    <xf numFmtId="0" fontId="25" fillId="0" borderId="1" xfId="0" applyFont="1" applyBorder="1" applyAlignment="1">
      <alignment horizontal="center" vertical="center" wrapText="1"/>
    </xf>
    <xf numFmtId="0" fontId="26" fillId="0" borderId="1" xfId="0" applyFont="1" applyBorder="1" applyAlignment="1">
      <alignment horizontal="center" vertical="center" wrapText="1"/>
    </xf>
    <xf numFmtId="0" fontId="26" fillId="0" borderId="1" xfId="0" applyFont="1" applyBorder="1" applyAlignment="1">
      <alignment horizontal="center" vertical="center" wrapText="1" readingOrder="1"/>
    </xf>
    <xf numFmtId="0" fontId="26" fillId="0" borderId="1" xfId="0" quotePrefix="1" applyFont="1" applyBorder="1" applyAlignment="1">
      <alignment horizontal="center" vertical="center" wrapText="1" readingOrder="1"/>
    </xf>
    <xf numFmtId="0" fontId="27" fillId="0" borderId="1" xfId="0" applyFont="1" applyBorder="1" applyAlignment="1">
      <alignment horizontal="center" vertical="center" wrapText="1"/>
    </xf>
    <xf numFmtId="0" fontId="6" fillId="9" borderId="1" xfId="0" applyFont="1" applyFill="1" applyBorder="1" applyAlignment="1">
      <alignment horizontal="center" vertical="center" wrapText="1" readingOrder="1"/>
    </xf>
    <xf numFmtId="0" fontId="6" fillId="8" borderId="1" xfId="0" applyFont="1" applyFill="1" applyBorder="1" applyAlignment="1">
      <alignment horizontal="center" vertical="center" wrapText="1" readingOrder="1"/>
    </xf>
    <xf numFmtId="0" fontId="6" fillId="10" borderId="1" xfId="0" applyFont="1" applyFill="1" applyBorder="1" applyAlignment="1">
      <alignment horizontal="center" vertical="center" wrapText="1" readingOrder="1"/>
    </xf>
    <xf numFmtId="164" fontId="7" fillId="10" borderId="5" xfId="0" applyNumberFormat="1" applyFont="1" applyFill="1" applyBorder="1" applyAlignment="1">
      <alignment horizontal="center" vertical="center" wrapText="1" readingOrder="1"/>
    </xf>
    <xf numFmtId="165" fontId="7" fillId="10" borderId="5" xfId="0" applyNumberFormat="1" applyFont="1" applyFill="1" applyBorder="1" applyAlignment="1">
      <alignment horizontal="center" vertical="center" wrapText="1" readingOrder="1"/>
    </xf>
    <xf numFmtId="0" fontId="28" fillId="0" borderId="1" xfId="0" applyFont="1" applyBorder="1" applyAlignment="1">
      <alignment horizontal="center" vertical="center" wrapText="1"/>
    </xf>
    <xf numFmtId="0" fontId="29" fillId="0" borderId="0" xfId="0" applyFont="1"/>
    <xf numFmtId="0" fontId="30" fillId="0" borderId="1" xfId="0" applyFont="1" applyBorder="1" applyAlignment="1">
      <alignment horizontal="center" vertical="center" wrapText="1"/>
    </xf>
    <xf numFmtId="166" fontId="26" fillId="0" borderId="7" xfId="0" applyNumberFormat="1" applyFont="1" applyBorder="1" applyAlignment="1">
      <alignment horizontal="center" vertical="center" wrapText="1" readingOrder="1"/>
    </xf>
    <xf numFmtId="0" fontId="9" fillId="0" borderId="29" xfId="0" applyFont="1" applyBorder="1" applyAlignment="1">
      <alignment horizontal="center" vertical="center" wrapText="1" readingOrder="1"/>
    </xf>
    <xf numFmtId="0" fontId="25" fillId="0" borderId="29" xfId="0" applyFont="1" applyBorder="1" applyAlignment="1">
      <alignment horizontal="center" vertical="center" wrapText="1"/>
    </xf>
    <xf numFmtId="0" fontId="9" fillId="0" borderId="32" xfId="0" applyFont="1" applyBorder="1" applyAlignment="1">
      <alignment horizontal="center" vertical="center" wrapText="1" readingOrder="1"/>
    </xf>
    <xf numFmtId="0" fontId="16" fillId="0" borderId="0" xfId="0" applyFont="1" applyFill="1" applyBorder="1" applyAlignment="1">
      <alignment vertical="center" wrapText="1" readingOrder="1"/>
    </xf>
    <xf numFmtId="0" fontId="11" fillId="0" borderId="0" xfId="0" applyFont="1" applyFill="1"/>
    <xf numFmtId="0" fontId="0" fillId="0" borderId="0" xfId="0" applyFill="1"/>
    <xf numFmtId="2" fontId="11" fillId="10" borderId="5" xfId="0" applyNumberFormat="1" applyFont="1" applyFill="1" applyBorder="1" applyAlignment="1">
      <alignment horizontal="center" vertical="center" wrapText="1" readingOrder="1"/>
    </xf>
    <xf numFmtId="0" fontId="8" fillId="0" borderId="5" xfId="0" applyFont="1" applyBorder="1" applyAlignment="1">
      <alignment horizontal="center" vertical="center" wrapText="1"/>
      <extLst>
        <ext xmlns:xfpb="http://schemas.microsoft.com/office/spreadsheetml/2022/featurepropertybag" uri="{C7286773-470A-42A8-94C5-96B5CB345126}">
          <xfpb:xfComplement i="0"/>
        </ext>
      </extLst>
    </xf>
    <xf numFmtId="0" fontId="8" fillId="0" borderId="31" xfId="0" applyFont="1" applyBorder="1" applyAlignment="1">
      <alignment horizontal="center" vertical="center" wrapText="1"/>
      <extLst>
        <ext xmlns:xfpb="http://schemas.microsoft.com/office/spreadsheetml/2022/featurepropertybag" uri="{C7286773-470A-42A8-94C5-96B5CB345126}">
          <xfpb:xfComplement i="0"/>
        </ext>
      </extLst>
    </xf>
    <xf numFmtId="0" fontId="3" fillId="7" borderId="7" xfId="0" applyFont="1" applyFill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  <xf numFmtId="0" fontId="22" fillId="0" borderId="5" xfId="0" applyFont="1" applyBorder="1" applyAlignment="1">
      <alignment horizontal="center" vertical="center" wrapText="1" readingOrder="1"/>
    </xf>
    <xf numFmtId="0" fontId="8" fillId="0" borderId="2" xfId="0" applyFont="1" applyBorder="1" applyAlignment="1">
      <alignment horizontal="center" vertical="center" wrapText="1" readingOrder="1"/>
    </xf>
    <xf numFmtId="0" fontId="9" fillId="0" borderId="8" xfId="0" applyFont="1" applyBorder="1" applyAlignment="1">
      <alignment horizontal="center" vertical="center" wrapText="1" readingOrder="1"/>
    </xf>
    <xf numFmtId="0" fontId="8" fillId="0" borderId="8" xfId="0" applyFont="1" applyBorder="1" applyAlignment="1">
      <alignment horizontal="center" vertical="center" wrapText="1" readingOrder="1"/>
    </xf>
    <xf numFmtId="0" fontId="9" fillId="0" borderId="2" xfId="0" applyFont="1" applyBorder="1" applyAlignment="1">
      <alignment horizontal="center" vertical="center" wrapText="1" readingOrder="1"/>
    </xf>
    <xf numFmtId="0" fontId="31" fillId="0" borderId="1" xfId="0" applyFont="1" applyBorder="1" applyAlignment="1">
      <alignment horizontal="center" vertical="center" wrapText="1" readingOrder="1"/>
    </xf>
    <xf numFmtId="0" fontId="31" fillId="0" borderId="1" xfId="0" quotePrefix="1" applyFont="1" applyBorder="1" applyAlignment="1">
      <alignment horizontal="center" vertical="center" wrapText="1" readingOrder="1"/>
    </xf>
    <xf numFmtId="166" fontId="13" fillId="7" borderId="1" xfId="0" applyNumberFormat="1" applyFont="1" applyFill="1" applyBorder="1" applyAlignment="1">
      <alignment horizontal="center" vertical="center" wrapText="1" readingOrder="1"/>
    </xf>
    <xf numFmtId="0" fontId="8" fillId="0" borderId="3" xfId="0" applyFont="1" applyBorder="1" applyAlignment="1">
      <alignment horizontal="center" vertical="center" wrapText="1" readingOrder="1"/>
    </xf>
    <xf numFmtId="0" fontId="8" fillId="0" borderId="4" xfId="0" applyFont="1" applyBorder="1" applyAlignment="1">
      <alignment horizontal="center" vertical="center" wrapText="1" readingOrder="1"/>
    </xf>
    <xf numFmtId="0" fontId="8" fillId="0" borderId="2" xfId="0" applyFont="1" applyBorder="1" applyAlignment="1">
      <alignment horizontal="center" vertical="center" wrapText="1" readingOrder="1"/>
    </xf>
    <xf numFmtId="0" fontId="8" fillId="0" borderId="8" xfId="0" applyFont="1" applyBorder="1" applyAlignment="1">
      <alignment horizontal="center" vertical="center" wrapText="1" readingOrder="1"/>
    </xf>
    <xf numFmtId="0" fontId="8" fillId="0" borderId="13" xfId="0" applyFont="1" applyBorder="1" applyAlignment="1">
      <alignment horizontal="center" vertical="center" wrapText="1" readingOrder="1"/>
    </xf>
    <xf numFmtId="0" fontId="9" fillId="0" borderId="2" xfId="0" applyFont="1" applyBorder="1" applyAlignment="1">
      <alignment horizontal="center" vertical="center" wrapText="1" readingOrder="1"/>
    </xf>
    <xf numFmtId="0" fontId="9" fillId="0" borderId="3" xfId="0" applyFont="1" applyBorder="1" applyAlignment="1">
      <alignment horizontal="center" vertical="center" wrapText="1" readingOrder="1"/>
    </xf>
    <xf numFmtId="0" fontId="9" fillId="0" borderId="4" xfId="0" applyFont="1" applyBorder="1" applyAlignment="1">
      <alignment horizontal="center" vertical="center" wrapText="1" readingOrder="1"/>
    </xf>
    <xf numFmtId="0" fontId="9" fillId="0" borderId="8" xfId="0" applyFont="1" applyBorder="1" applyAlignment="1">
      <alignment horizontal="center" vertical="center" wrapText="1" readingOrder="1"/>
    </xf>
    <xf numFmtId="0" fontId="9" fillId="0" borderId="13" xfId="0" applyFont="1" applyBorder="1" applyAlignment="1">
      <alignment horizontal="center" vertical="center" wrapText="1" readingOrder="1"/>
    </xf>
    <xf numFmtId="0" fontId="4" fillId="4" borderId="14" xfId="0" applyFont="1" applyFill="1" applyBorder="1" applyAlignment="1">
      <alignment horizontal="center" vertical="center" wrapText="1" readingOrder="1"/>
    </xf>
    <xf numFmtId="0" fontId="4" fillId="4" borderId="13" xfId="0" applyFont="1" applyFill="1" applyBorder="1" applyAlignment="1">
      <alignment horizontal="center" vertical="center" wrapText="1" readingOrder="1"/>
    </xf>
    <xf numFmtId="0" fontId="4" fillId="5" borderId="14" xfId="0" applyFont="1" applyFill="1" applyBorder="1" applyAlignment="1">
      <alignment horizontal="center" vertical="center" wrapText="1" readingOrder="1"/>
    </xf>
    <xf numFmtId="0" fontId="4" fillId="5" borderId="13" xfId="0" applyFont="1" applyFill="1" applyBorder="1" applyAlignment="1">
      <alignment horizontal="center" vertical="center" wrapText="1" readingOrder="1"/>
    </xf>
    <xf numFmtId="0" fontId="15" fillId="3" borderId="1" xfId="0" applyFont="1" applyFill="1" applyBorder="1" applyAlignment="1">
      <alignment horizontal="center" vertical="center" readingOrder="1"/>
    </xf>
    <xf numFmtId="0" fontId="4" fillId="3" borderId="1" xfId="0" applyFont="1" applyFill="1" applyBorder="1" applyAlignment="1">
      <alignment horizontal="center" vertical="center" readingOrder="1"/>
    </xf>
    <xf numFmtId="0" fontId="4" fillId="4" borderId="1" xfId="0" applyFont="1" applyFill="1" applyBorder="1" applyAlignment="1">
      <alignment horizontal="center" vertical="center" readingOrder="1"/>
    </xf>
    <xf numFmtId="0" fontId="17" fillId="7" borderId="7" xfId="0" applyFont="1" applyFill="1" applyBorder="1" applyAlignment="1">
      <alignment horizontal="center" vertical="center"/>
    </xf>
    <xf numFmtId="0" fontId="17" fillId="7" borderId="1" xfId="0" applyFont="1" applyFill="1" applyBorder="1" applyAlignment="1">
      <alignment horizontal="center" vertical="center"/>
    </xf>
    <xf numFmtId="0" fontId="16" fillId="2" borderId="1" xfId="0" applyFont="1" applyFill="1" applyBorder="1" applyAlignment="1">
      <alignment horizontal="center" vertical="center" wrapText="1" readingOrder="1"/>
    </xf>
    <xf numFmtId="0" fontId="16" fillId="2" borderId="2" xfId="0" applyFont="1" applyFill="1" applyBorder="1" applyAlignment="1">
      <alignment horizontal="center" vertical="center" wrapText="1" readingOrder="1"/>
    </xf>
    <xf numFmtId="0" fontId="4" fillId="2" borderId="4" xfId="0" applyFont="1" applyFill="1" applyBorder="1" applyAlignment="1">
      <alignment horizontal="center" vertical="center" wrapText="1" readingOrder="1"/>
    </xf>
    <xf numFmtId="0" fontId="4" fillId="2" borderId="1" xfId="0" applyFont="1" applyFill="1" applyBorder="1" applyAlignment="1">
      <alignment horizontal="center" vertical="center" wrapText="1" readingOrder="1"/>
    </xf>
    <xf numFmtId="0" fontId="15" fillId="3" borderId="23" xfId="0" applyFont="1" applyFill="1" applyBorder="1" applyAlignment="1">
      <alignment horizontal="center" vertical="center" readingOrder="1"/>
    </xf>
    <xf numFmtId="0" fontId="4" fillId="3" borderId="7" xfId="0" applyFont="1" applyFill="1" applyBorder="1" applyAlignment="1">
      <alignment horizontal="center" vertical="center" readingOrder="1"/>
    </xf>
    <xf numFmtId="0" fontId="4" fillId="4" borderId="23" xfId="0" applyFont="1" applyFill="1" applyBorder="1" applyAlignment="1">
      <alignment horizontal="center" vertical="center" readingOrder="1"/>
    </xf>
    <xf numFmtId="0" fontId="4" fillId="4" borderId="7" xfId="0" applyFont="1" applyFill="1" applyBorder="1" applyAlignment="1">
      <alignment horizontal="center" vertical="center" readingOrder="1"/>
    </xf>
    <xf numFmtId="0" fontId="4" fillId="5" borderId="23" xfId="0" applyFont="1" applyFill="1" applyBorder="1" applyAlignment="1">
      <alignment horizontal="center" vertical="center" wrapText="1" readingOrder="1"/>
    </xf>
    <xf numFmtId="0" fontId="4" fillId="5" borderId="7" xfId="0" applyFont="1" applyFill="1" applyBorder="1" applyAlignment="1">
      <alignment horizontal="center" vertical="center" wrapText="1" readingOrder="1"/>
    </xf>
    <xf numFmtId="0" fontId="15" fillId="9" borderId="7" xfId="0" applyFont="1" applyFill="1" applyBorder="1" applyAlignment="1">
      <alignment horizontal="center" vertical="center" readingOrder="1"/>
    </xf>
    <xf numFmtId="0" fontId="4" fillId="9" borderId="7" xfId="0" applyFont="1" applyFill="1" applyBorder="1" applyAlignment="1">
      <alignment horizontal="center" vertical="center" readingOrder="1"/>
    </xf>
    <xf numFmtId="0" fontId="4" fillId="8" borderId="7" xfId="0" applyFont="1" applyFill="1" applyBorder="1" applyAlignment="1">
      <alignment horizontal="center" vertical="center" readingOrder="1"/>
    </xf>
    <xf numFmtId="0" fontId="4" fillId="3" borderId="14" xfId="0" applyFont="1" applyFill="1" applyBorder="1" applyAlignment="1">
      <alignment horizontal="center" vertical="center" wrapText="1" readingOrder="1"/>
    </xf>
    <xf numFmtId="0" fontId="4" fillId="3" borderId="13" xfId="0" applyFont="1" applyFill="1" applyBorder="1" applyAlignment="1">
      <alignment horizontal="center" vertical="center" wrapText="1" readingOrder="1"/>
    </xf>
    <xf numFmtId="0" fontId="14" fillId="7" borderId="1" xfId="0" applyFont="1" applyFill="1" applyBorder="1" applyAlignment="1">
      <alignment horizontal="center" vertical="center" wrapText="1" readingOrder="1"/>
    </xf>
    <xf numFmtId="0" fontId="14" fillId="7" borderId="7" xfId="0" applyFont="1" applyFill="1" applyBorder="1" applyAlignment="1">
      <alignment horizontal="center" vertical="center" wrapText="1" readingOrder="1"/>
    </xf>
    <xf numFmtId="0" fontId="4" fillId="10" borderId="15" xfId="0" applyFont="1" applyFill="1" applyBorder="1" applyAlignment="1">
      <alignment horizontal="center" vertical="center" wrapText="1" readingOrder="1"/>
    </xf>
    <xf numFmtId="0" fontId="4" fillId="10" borderId="14" xfId="0" applyFont="1" applyFill="1" applyBorder="1" applyAlignment="1">
      <alignment horizontal="center" vertical="center" wrapText="1" readingOrder="1"/>
    </xf>
    <xf numFmtId="0" fontId="4" fillId="10" borderId="1" xfId="0" applyFont="1" applyFill="1" applyBorder="1" applyAlignment="1">
      <alignment horizontal="center" vertical="center" wrapText="1" readingOrder="1"/>
    </xf>
    <xf numFmtId="0" fontId="4" fillId="10" borderId="7" xfId="0" applyFont="1" applyFill="1" applyBorder="1" applyAlignment="1">
      <alignment horizontal="center" vertical="center" wrapText="1" readingOrder="1"/>
    </xf>
    <xf numFmtId="0" fontId="4" fillId="9" borderId="1" xfId="0" applyFont="1" applyFill="1" applyBorder="1" applyAlignment="1">
      <alignment horizontal="center" vertical="center" wrapText="1" readingOrder="1"/>
    </xf>
    <xf numFmtId="0" fontId="4" fillId="8" borderId="1" xfId="0" applyFont="1" applyFill="1" applyBorder="1" applyAlignment="1">
      <alignment horizontal="center" vertical="center" wrapText="1" readingOrder="1"/>
    </xf>
    <xf numFmtId="0" fontId="4" fillId="5" borderId="1" xfId="0" applyFont="1" applyFill="1" applyBorder="1" applyAlignment="1">
      <alignment horizontal="center" vertical="center" wrapText="1" readingOrder="1"/>
    </xf>
    <xf numFmtId="0" fontId="4" fillId="3" borderId="6" xfId="0" applyFont="1" applyFill="1" applyBorder="1" applyAlignment="1">
      <alignment horizontal="center" vertical="center" wrapText="1" readingOrder="1"/>
    </xf>
    <xf numFmtId="0" fontId="2" fillId="7" borderId="6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 readingOrder="1"/>
    </xf>
    <xf numFmtId="0" fontId="4" fillId="2" borderId="3" xfId="0" applyFont="1" applyFill="1" applyBorder="1" applyAlignment="1">
      <alignment horizontal="center" vertical="center" wrapText="1" readingOrder="1"/>
    </xf>
    <xf numFmtId="0" fontId="4" fillId="2" borderId="9" xfId="0" applyFont="1" applyFill="1" applyBorder="1" applyAlignment="1">
      <alignment horizontal="center" vertical="center" wrapText="1" readingOrder="1"/>
    </xf>
    <xf numFmtId="0" fontId="4" fillId="2" borderId="10" xfId="0" applyFont="1" applyFill="1" applyBorder="1" applyAlignment="1">
      <alignment horizontal="center" vertical="center" wrapText="1" readingOrder="1"/>
    </xf>
    <xf numFmtId="0" fontId="4" fillId="2" borderId="11" xfId="0" applyFont="1" applyFill="1" applyBorder="1" applyAlignment="1">
      <alignment horizontal="center" vertical="center" wrapText="1" readingOrder="1"/>
    </xf>
    <xf numFmtId="0" fontId="4" fillId="2" borderId="19" xfId="0" applyFont="1" applyFill="1" applyBorder="1" applyAlignment="1">
      <alignment horizontal="center" vertical="center" wrapText="1" readingOrder="1"/>
    </xf>
    <xf numFmtId="0" fontId="4" fillId="2" borderId="20" xfId="0" applyFont="1" applyFill="1" applyBorder="1" applyAlignment="1">
      <alignment horizontal="center" vertical="center" wrapText="1" readingOrder="1"/>
    </xf>
    <xf numFmtId="0" fontId="4" fillId="2" borderId="21" xfId="0" applyFont="1" applyFill="1" applyBorder="1" applyAlignment="1">
      <alignment horizontal="center" vertical="center" wrapText="1" readingOrder="1"/>
    </xf>
    <xf numFmtId="0" fontId="16" fillId="2" borderId="6" xfId="0" applyFont="1" applyFill="1" applyBorder="1" applyAlignment="1">
      <alignment horizontal="center" vertical="center" wrapText="1" readingOrder="1"/>
    </xf>
    <xf numFmtId="0" fontId="4" fillId="3" borderId="17" xfId="0" applyFont="1" applyFill="1" applyBorder="1" applyAlignment="1">
      <alignment horizontal="center" vertical="center" wrapText="1" readingOrder="1"/>
    </xf>
    <xf numFmtId="0" fontId="4" fillId="3" borderId="18" xfId="0" applyFont="1" applyFill="1" applyBorder="1" applyAlignment="1">
      <alignment horizontal="center" vertical="center" wrapText="1" readingOrder="1"/>
    </xf>
    <xf numFmtId="0" fontId="4" fillId="4" borderId="10" xfId="0" applyFont="1" applyFill="1" applyBorder="1" applyAlignment="1">
      <alignment horizontal="center" vertical="center" wrapText="1" readingOrder="1"/>
    </xf>
    <xf numFmtId="0" fontId="4" fillId="4" borderId="11" xfId="0" applyFont="1" applyFill="1" applyBorder="1" applyAlignment="1">
      <alignment horizontal="center" vertical="center" wrapText="1" readingOrder="1"/>
    </xf>
    <xf numFmtId="0" fontId="4" fillId="5" borderId="15" xfId="0" applyFont="1" applyFill="1" applyBorder="1" applyAlignment="1">
      <alignment horizontal="center" vertical="center" wrapText="1" readingOrder="1"/>
    </xf>
    <xf numFmtId="0" fontId="4" fillId="9" borderId="17" xfId="0" applyFont="1" applyFill="1" applyBorder="1" applyAlignment="1">
      <alignment horizontal="center" vertical="center" wrapText="1" readingOrder="1"/>
    </xf>
    <xf numFmtId="0" fontId="4" fillId="9" borderId="18" xfId="0" applyFont="1" applyFill="1" applyBorder="1" applyAlignment="1">
      <alignment horizontal="center" vertical="center" wrapText="1" readingOrder="1"/>
    </xf>
    <xf numFmtId="0" fontId="4" fillId="8" borderId="10" xfId="0" applyFont="1" applyFill="1" applyBorder="1" applyAlignment="1">
      <alignment horizontal="center" vertical="center" wrapText="1" readingOrder="1"/>
    </xf>
    <xf numFmtId="0" fontId="4" fillId="8" borderId="11" xfId="0" applyFont="1" applyFill="1" applyBorder="1" applyAlignment="1">
      <alignment horizontal="center" vertical="center" wrapText="1" readingOrder="1"/>
    </xf>
    <xf numFmtId="0" fontId="16" fillId="2" borderId="33" xfId="0" applyFont="1" applyFill="1" applyBorder="1" applyAlignment="1">
      <alignment horizontal="center" vertical="center" wrapText="1" readingOrder="1"/>
    </xf>
    <xf numFmtId="0" fontId="16" fillId="2" borderId="23" xfId="0" applyFont="1" applyFill="1" applyBorder="1" applyAlignment="1">
      <alignment horizontal="center" vertical="center" wrapText="1" readingOrder="1"/>
    </xf>
    <xf numFmtId="0" fontId="16" fillId="7" borderId="23" xfId="0" applyFont="1" applyFill="1" applyBorder="1" applyAlignment="1">
      <alignment horizontal="center" vertical="center" wrapText="1" readingOrder="1"/>
    </xf>
    <xf numFmtId="0" fontId="16" fillId="7" borderId="7" xfId="0" applyFont="1" applyFill="1" applyBorder="1" applyAlignment="1">
      <alignment horizontal="center" vertical="center" wrapText="1" readingOrder="1"/>
    </xf>
    <xf numFmtId="0" fontId="4" fillId="7" borderId="7" xfId="0" applyFont="1" applyFill="1" applyBorder="1" applyAlignment="1">
      <alignment horizontal="center" vertical="center" wrapText="1" readingOrder="1"/>
    </xf>
    <xf numFmtId="0" fontId="9" fillId="0" borderId="30" xfId="0" applyFont="1" applyBorder="1" applyAlignment="1">
      <alignment horizontal="center" vertical="center" wrapText="1" readingOrder="1"/>
    </xf>
    <xf numFmtId="0" fontId="8" fillId="0" borderId="30" xfId="0" applyFont="1" applyBorder="1" applyAlignment="1">
      <alignment horizontal="center" vertical="center" wrapText="1" readingOrder="1"/>
    </xf>
    <xf numFmtId="0" fontId="16" fillId="2" borderId="4" xfId="0" applyFont="1" applyFill="1" applyBorder="1" applyAlignment="1">
      <alignment horizontal="center" vertical="center" wrapText="1" readingOrder="1"/>
    </xf>
    <xf numFmtId="0" fontId="16" fillId="2" borderId="28" xfId="0" applyFont="1" applyFill="1" applyBorder="1" applyAlignment="1">
      <alignment horizontal="center" vertical="center" wrapText="1" readingOrder="1"/>
    </xf>
    <xf numFmtId="0" fontId="4" fillId="5" borderId="5" xfId="0" applyFont="1" applyFill="1" applyBorder="1" applyAlignment="1">
      <alignment horizontal="center" vertical="center" wrapText="1" readingOrder="1"/>
    </xf>
    <xf numFmtId="2" fontId="32" fillId="0" borderId="7" xfId="0" applyNumberFormat="1" applyFont="1" applyFill="1" applyBorder="1" applyAlignment="1">
      <alignment horizontal="center" vertical="center" wrapText="1" readingOrder="1"/>
    </xf>
    <xf numFmtId="0" fontId="32" fillId="0" borderId="0" xfId="0" applyFont="1" applyFill="1"/>
    <xf numFmtId="0" fontId="1" fillId="0" borderId="0" xfId="0" applyFont="1" applyAlignment="1">
      <alignment horizontal="center" vertical="center"/>
    </xf>
    <xf numFmtId="166" fontId="32" fillId="0" borderId="7" xfId="0" applyNumberFormat="1" applyFont="1" applyFill="1" applyBorder="1" applyAlignment="1">
      <alignment horizontal="center" vertical="center" wrapText="1" readingOrder="1"/>
    </xf>
    <xf numFmtId="0" fontId="9" fillId="0" borderId="1" xfId="0" applyFont="1" applyBorder="1" applyAlignment="1">
      <alignment horizontal="center" vertical="center" wrapText="1" readingOrder="1"/>
    </xf>
    <xf numFmtId="0" fontId="9" fillId="0" borderId="34" xfId="0" applyFont="1" applyBorder="1" applyAlignment="1">
      <alignment horizontal="center" vertical="center" wrapText="1" readingOrder="1"/>
    </xf>
    <xf numFmtId="0" fontId="24" fillId="0" borderId="2" xfId="0" applyFont="1" applyBorder="1" applyAlignment="1">
      <alignment horizontal="center" vertical="center" wrapText="1"/>
    </xf>
    <xf numFmtId="0" fontId="25" fillId="0" borderId="4" xfId="0" applyFont="1" applyBorder="1" applyAlignment="1">
      <alignment horizontal="center" vertical="center" wrapText="1"/>
    </xf>
    <xf numFmtId="0" fontId="9" fillId="0" borderId="34" xfId="0" applyFont="1" applyBorder="1" applyAlignment="1">
      <alignment horizontal="center" vertical="center" wrapText="1" readingOrder="1"/>
    </xf>
    <xf numFmtId="2" fontId="11" fillId="9" borderId="2" xfId="0" applyNumberFormat="1" applyFont="1" applyFill="1" applyBorder="1" applyAlignment="1">
      <alignment horizontal="center" vertical="center" wrapText="1" readingOrder="1"/>
    </xf>
    <xf numFmtId="2" fontId="11" fillId="8" borderId="2" xfId="0" applyNumberFormat="1" applyFont="1" applyFill="1" applyBorder="1" applyAlignment="1">
      <alignment horizontal="center" vertical="center" wrapText="1" readingOrder="1"/>
    </xf>
    <xf numFmtId="2" fontId="11" fillId="10" borderId="35" xfId="0" applyNumberFormat="1" applyFont="1" applyFill="1" applyBorder="1" applyAlignment="1">
      <alignment horizontal="center" vertical="center" wrapText="1" readingOrder="1"/>
    </xf>
    <xf numFmtId="2" fontId="11" fillId="9" borderId="4" xfId="0" applyNumberFormat="1" applyFont="1" applyFill="1" applyBorder="1" applyAlignment="1">
      <alignment horizontal="center" vertical="center" wrapText="1" readingOrder="1"/>
    </xf>
    <xf numFmtId="2" fontId="11" fillId="8" borderId="4" xfId="0" applyNumberFormat="1" applyFont="1" applyFill="1" applyBorder="1" applyAlignment="1">
      <alignment horizontal="center" vertical="center" wrapText="1" readingOrder="1"/>
    </xf>
    <xf numFmtId="2" fontId="11" fillId="10" borderId="36" xfId="0" applyNumberFormat="1" applyFont="1" applyFill="1" applyBorder="1" applyAlignment="1">
      <alignment horizontal="center" vertical="center" wrapText="1" readingOrder="1"/>
    </xf>
    <xf numFmtId="2" fontId="22" fillId="0" borderId="7" xfId="0" applyNumberFormat="1" applyFont="1" applyFill="1" applyBorder="1" applyAlignment="1">
      <alignment horizontal="center" vertical="center" wrapText="1" readingOrder="1"/>
    </xf>
    <xf numFmtId="2" fontId="33" fillId="0" borderId="7" xfId="0" applyNumberFormat="1" applyFont="1" applyFill="1" applyBorder="1" applyAlignment="1">
      <alignment horizontal="center" vertical="center" wrapText="1" readingOrder="1"/>
    </xf>
    <xf numFmtId="2" fontId="34" fillId="0" borderId="7" xfId="0" applyNumberFormat="1" applyFont="1" applyFill="1" applyBorder="1" applyAlignment="1">
      <alignment horizontal="center" vertical="center" wrapText="1" readingOrder="1"/>
    </xf>
    <xf numFmtId="2" fontId="7" fillId="0" borderId="7" xfId="0" applyNumberFormat="1" applyFont="1" applyFill="1" applyBorder="1" applyAlignment="1">
      <alignment horizontal="center" vertical="center" wrapText="1" readingOrder="1"/>
    </xf>
    <xf numFmtId="0" fontId="4" fillId="2" borderId="37" xfId="0" applyFont="1" applyFill="1" applyBorder="1" applyAlignment="1">
      <alignment horizontal="center" vertical="center" wrapText="1" readingOrder="1"/>
    </xf>
    <xf numFmtId="0" fontId="4" fillId="2" borderId="18" xfId="0" applyFont="1" applyFill="1" applyBorder="1" applyAlignment="1">
      <alignment horizontal="center" vertical="center" wrapText="1" readingOrder="1"/>
    </xf>
    <xf numFmtId="0" fontId="4" fillId="2" borderId="35" xfId="0" applyFont="1" applyFill="1" applyBorder="1" applyAlignment="1">
      <alignment horizontal="center" vertical="center" wrapText="1" readingOrder="1"/>
    </xf>
    <xf numFmtId="0" fontId="4" fillId="2" borderId="28" xfId="0" applyFont="1" applyFill="1" applyBorder="1" applyAlignment="1">
      <alignment horizontal="center" vertical="center" wrapText="1" readingOrder="1"/>
    </xf>
    <xf numFmtId="0" fontId="4" fillId="2" borderId="36" xfId="0" applyFont="1" applyFill="1" applyBorder="1" applyAlignment="1">
      <alignment horizontal="center" vertical="center" wrapText="1" readingOrder="1"/>
    </xf>
    <xf numFmtId="0" fontId="23" fillId="7" borderId="1" xfId="0" applyFont="1" applyFill="1" applyBorder="1" applyAlignment="1">
      <alignment horizontal="center" vertical="center" wrapText="1"/>
    </xf>
    <xf numFmtId="2" fontId="1" fillId="0" borderId="1" xfId="0" applyNumberFormat="1" applyFont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 wrapText="1" readingOrder="1"/>
    </xf>
    <xf numFmtId="0" fontId="21" fillId="7" borderId="5" xfId="0" applyFont="1" applyFill="1" applyBorder="1" applyAlignment="1">
      <alignment horizontal="center" vertical="center" readingOrder="1"/>
    </xf>
    <xf numFmtId="0" fontId="4" fillId="3" borderId="38" xfId="0" applyFont="1" applyFill="1" applyBorder="1" applyAlignment="1">
      <alignment horizontal="center" vertical="center" wrapText="1" readingOrder="1"/>
    </xf>
    <xf numFmtId="164" fontId="20" fillId="4" borderId="6" xfId="0" applyNumberFormat="1" applyFont="1" applyFill="1" applyBorder="1" applyAlignment="1">
      <alignment horizontal="center" vertical="center" wrapText="1" readingOrder="1"/>
    </xf>
  </cellXfs>
  <cellStyles count="1">
    <cellStyle name="Normale" xfId="0" builtinId="0"/>
  </cellStyles>
  <dxfs count="8">
    <dxf>
      <font>
        <b/>
        <i val="0"/>
        <color theme="9"/>
      </font>
    </dxf>
    <dxf>
      <font>
        <b/>
        <i val="0"/>
        <color theme="9"/>
      </font>
    </dxf>
    <dxf>
      <font>
        <color rgb="FF9C0006"/>
      </font>
    </dxf>
    <dxf>
      <font>
        <color theme="9"/>
      </font>
      <fill>
        <patternFill patternType="solid">
          <bgColor theme="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8"/>
      </font>
    </dxf>
    <dxf>
      <font>
        <color rgb="FF9C0006"/>
      </font>
    </dxf>
  </dxfs>
  <tableStyles count="0" defaultTableStyle="TableStyleMedium2" defaultPivotStyle="PivotStyleMedium9"/>
  <colors>
    <mruColors>
      <color rgb="FFFFE8E8"/>
      <color rgb="FFFCD7D7"/>
      <color rgb="FFC9DAF8"/>
      <color rgb="FFD9EAD3"/>
      <color rgb="FFF1DFE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microsoft.com/office/2022/11/relationships/FeaturePropertyBag" Target="featurePropertyBag/featurePropertyBag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C7DA40-FA23-4D72-B8AC-79BEF4F48DFB}">
  <dimension ref="A1:CE158"/>
  <sheetViews>
    <sheetView zoomScale="30" zoomScaleNormal="40" workbookViewId="0">
      <selection activeCell="AJ67" sqref="AJ67"/>
    </sheetView>
  </sheetViews>
  <sheetFormatPr defaultRowHeight="18" customHeight="1"/>
  <cols>
    <col min="1" max="1" width="31.7109375" customWidth="1"/>
    <col min="2" max="2" width="18" customWidth="1"/>
    <col min="3" max="3" width="57.7109375" customWidth="1"/>
    <col min="4" max="4" width="26.5703125" bestFit="1" customWidth="1"/>
    <col min="5" max="5" width="26.5703125" customWidth="1"/>
    <col min="6" max="6" width="24.42578125" customWidth="1"/>
    <col min="7" max="7" width="12.85546875" customWidth="1"/>
    <col min="8" max="8" width="13" customWidth="1"/>
    <col min="9" max="13" width="15.5703125" customWidth="1"/>
    <col min="14" max="14" width="3.5703125" customWidth="1"/>
    <col min="15" max="19" width="15.5703125" customWidth="1"/>
    <col min="20" max="20" width="4.28515625" style="17" customWidth="1"/>
    <col min="21" max="21" width="13" style="16" customWidth="1"/>
    <col min="22" max="23" width="13.7109375" customWidth="1"/>
    <col min="24" max="24" width="4.28515625" customWidth="1"/>
    <col min="25" max="25" width="14" customWidth="1"/>
    <col min="26" max="27" width="13.7109375" customWidth="1"/>
    <col min="28" max="28" width="4.28515625" customWidth="1"/>
    <col min="29" max="29" width="14.140625" customWidth="1"/>
    <col min="30" max="31" width="13.7109375" customWidth="1"/>
    <col min="32" max="32" width="44" customWidth="1"/>
    <col min="33" max="33" width="16.7109375" hidden="1" customWidth="1"/>
    <col min="58" max="58" width="4" customWidth="1"/>
    <col min="83" max="83" width="28.85546875" bestFit="1" customWidth="1"/>
  </cols>
  <sheetData>
    <row r="1" spans="1:83" ht="35.25" customHeight="1">
      <c r="A1" s="165" t="s">
        <v>0</v>
      </c>
      <c r="B1" s="167" t="s">
        <v>1</v>
      </c>
      <c r="C1" s="165" t="s">
        <v>2</v>
      </c>
      <c r="D1" s="165" t="s">
        <v>3</v>
      </c>
      <c r="E1" s="165" t="s">
        <v>4</v>
      </c>
      <c r="F1" s="167" t="s">
        <v>5</v>
      </c>
      <c r="G1" s="167" t="s">
        <v>6</v>
      </c>
      <c r="H1" s="170" t="s">
        <v>7</v>
      </c>
      <c r="I1" s="173" t="s">
        <v>8</v>
      </c>
      <c r="J1" s="139"/>
      <c r="K1" s="139"/>
      <c r="L1" s="139"/>
      <c r="M1" s="139"/>
      <c r="N1" s="139"/>
      <c r="O1" s="139"/>
      <c r="P1" s="139"/>
      <c r="Q1" s="139"/>
      <c r="R1" s="139"/>
      <c r="S1" s="139"/>
      <c r="T1" s="15"/>
      <c r="U1" s="154" t="s">
        <v>9</v>
      </c>
      <c r="V1" s="154"/>
      <c r="W1" s="154"/>
      <c r="X1" s="23"/>
      <c r="Y1" s="154" t="s">
        <v>10</v>
      </c>
      <c r="Z1" s="154"/>
      <c r="AA1" s="154"/>
      <c r="AB1" s="22"/>
      <c r="AC1" s="155" t="s">
        <v>11</v>
      </c>
      <c r="AD1" s="155"/>
      <c r="AE1" s="155"/>
      <c r="AF1" s="5"/>
      <c r="AG1" s="5"/>
      <c r="AH1" s="137" t="s">
        <v>12</v>
      </c>
      <c r="AI1" s="137"/>
      <c r="AJ1" s="137"/>
      <c r="AK1" s="137"/>
      <c r="AL1" s="137"/>
      <c r="AM1" s="137"/>
      <c r="AN1" s="137"/>
      <c r="AO1" s="137"/>
      <c r="AP1" s="137"/>
      <c r="AQ1" s="137"/>
      <c r="AR1" s="137"/>
      <c r="AS1" s="137"/>
      <c r="AT1" s="137"/>
      <c r="AU1" s="137"/>
      <c r="AV1" s="137"/>
      <c r="AW1" s="137"/>
      <c r="AX1" s="137"/>
      <c r="AY1" s="137"/>
      <c r="AZ1" s="137"/>
      <c r="BA1" s="137"/>
      <c r="BB1" s="137"/>
      <c r="BC1" s="137"/>
      <c r="BD1" s="137"/>
      <c r="BE1" s="137"/>
      <c r="BG1" s="138" t="s">
        <v>13</v>
      </c>
      <c r="BH1" s="138"/>
      <c r="BI1" s="138"/>
      <c r="BJ1" s="138"/>
      <c r="BK1" s="138"/>
      <c r="BL1" s="138"/>
      <c r="BM1" s="138"/>
      <c r="BN1" s="138"/>
      <c r="BO1" s="138"/>
      <c r="BP1" s="138"/>
      <c r="BQ1" s="138"/>
      <c r="BR1" s="138"/>
      <c r="BS1" s="138"/>
      <c r="BT1" s="138"/>
      <c r="BU1" s="138"/>
      <c r="BV1" s="138"/>
      <c r="BW1" s="138"/>
      <c r="BX1" s="138"/>
      <c r="BY1" s="138"/>
      <c r="BZ1" s="138"/>
      <c r="CA1" s="138"/>
      <c r="CB1" s="138"/>
      <c r="CC1" s="138"/>
      <c r="CD1" s="138"/>
      <c r="CE1" s="164" t="s">
        <v>14</v>
      </c>
    </row>
    <row r="2" spans="1:83" ht="37.15" customHeight="1">
      <c r="A2" s="166"/>
      <c r="B2" s="168"/>
      <c r="C2" s="166"/>
      <c r="D2" s="166"/>
      <c r="E2" s="166"/>
      <c r="F2" s="168"/>
      <c r="G2" s="168"/>
      <c r="H2" s="171"/>
      <c r="I2" s="139" t="s">
        <v>15</v>
      </c>
      <c r="J2" s="139"/>
      <c r="K2" s="139"/>
      <c r="L2" s="139"/>
      <c r="M2" s="140"/>
      <c r="O2" s="139" t="s">
        <v>16</v>
      </c>
      <c r="P2" s="139"/>
      <c r="Q2" s="139"/>
      <c r="R2" s="139"/>
      <c r="S2" s="140"/>
      <c r="T2" s="16"/>
      <c r="U2" s="154"/>
      <c r="V2" s="154"/>
      <c r="W2" s="154"/>
      <c r="X2" s="23"/>
      <c r="Y2" s="154"/>
      <c r="Z2" s="154"/>
      <c r="AA2" s="154"/>
      <c r="AB2" s="22"/>
      <c r="AC2" s="155"/>
      <c r="AD2" s="155"/>
      <c r="AE2" s="155"/>
      <c r="AF2" s="5"/>
      <c r="AG2" s="5"/>
      <c r="AH2" s="141" t="s">
        <v>17</v>
      </c>
      <c r="AI2" s="141"/>
      <c r="AJ2" s="141"/>
      <c r="AK2" s="141"/>
      <c r="AL2" s="141"/>
      <c r="AM2" s="141"/>
      <c r="AN2" s="141" t="s">
        <v>18</v>
      </c>
      <c r="AO2" s="141"/>
      <c r="AP2" s="141"/>
      <c r="AQ2" s="141"/>
      <c r="AR2" s="141"/>
      <c r="AS2" s="141"/>
      <c r="AT2" s="141" t="s">
        <v>19</v>
      </c>
      <c r="AU2" s="141"/>
      <c r="AV2" s="141"/>
      <c r="AW2" s="141"/>
      <c r="AX2" s="141"/>
      <c r="AY2" s="141"/>
      <c r="AZ2" s="141" t="s">
        <v>20</v>
      </c>
      <c r="BA2" s="141"/>
      <c r="BB2" s="141"/>
      <c r="BC2" s="141"/>
      <c r="BD2" s="141"/>
      <c r="BE2" s="141"/>
      <c r="BG2" s="142" t="s">
        <v>17</v>
      </c>
      <c r="BH2" s="142"/>
      <c r="BI2" s="142"/>
      <c r="BJ2" s="142"/>
      <c r="BK2" s="142"/>
      <c r="BL2" s="142"/>
      <c r="BM2" s="142" t="s">
        <v>18</v>
      </c>
      <c r="BN2" s="142"/>
      <c r="BO2" s="142"/>
      <c r="BP2" s="142"/>
      <c r="BQ2" s="142"/>
      <c r="BR2" s="142"/>
      <c r="BS2" s="142" t="s">
        <v>19</v>
      </c>
      <c r="BT2" s="142"/>
      <c r="BU2" s="142"/>
      <c r="BV2" s="142"/>
      <c r="BW2" s="142"/>
      <c r="BX2" s="142"/>
      <c r="BY2" s="142" t="s">
        <v>20</v>
      </c>
      <c r="BZ2" s="142"/>
      <c r="CA2" s="142"/>
      <c r="CB2" s="142"/>
      <c r="CC2" s="142"/>
      <c r="CD2" s="142"/>
      <c r="CE2" s="164"/>
    </row>
    <row r="3" spans="1:83" ht="33" customHeight="1">
      <c r="A3" s="166"/>
      <c r="B3" s="168"/>
      <c r="C3" s="166"/>
      <c r="D3" s="166"/>
      <c r="E3" s="166"/>
      <c r="F3" s="168"/>
      <c r="G3" s="168"/>
      <c r="H3" s="171"/>
      <c r="I3" s="174" t="s">
        <v>21</v>
      </c>
      <c r="J3" s="176" t="s">
        <v>22</v>
      </c>
      <c r="K3" s="176" t="s">
        <v>23</v>
      </c>
      <c r="L3" s="178" t="s">
        <v>24</v>
      </c>
      <c r="M3" s="162" t="s">
        <v>25</v>
      </c>
      <c r="O3" s="179" t="s">
        <v>21</v>
      </c>
      <c r="P3" s="181" t="s">
        <v>22</v>
      </c>
      <c r="Q3" s="181" t="s">
        <v>23</v>
      </c>
      <c r="R3" s="156" t="s">
        <v>24</v>
      </c>
      <c r="S3" s="158" t="s">
        <v>25</v>
      </c>
      <c r="T3" s="16"/>
      <c r="U3" s="134" t="s">
        <v>26</v>
      </c>
      <c r="V3" s="136" t="s">
        <v>27</v>
      </c>
      <c r="W3" s="162" t="s">
        <v>28</v>
      </c>
      <c r="X3" s="22"/>
      <c r="Y3" s="143" t="s">
        <v>26</v>
      </c>
      <c r="Z3" s="145" t="s">
        <v>27</v>
      </c>
      <c r="AA3" s="147" t="s">
        <v>28</v>
      </c>
      <c r="AB3" s="22"/>
      <c r="AC3" s="149" t="s">
        <v>26</v>
      </c>
      <c r="AD3" s="151" t="s">
        <v>27</v>
      </c>
      <c r="AE3" s="159" t="s">
        <v>28</v>
      </c>
      <c r="AF3" s="5"/>
      <c r="AG3" s="5"/>
      <c r="AH3" s="221" t="s">
        <v>29</v>
      </c>
      <c r="AI3" s="163"/>
      <c r="AJ3" s="130" t="s">
        <v>30</v>
      </c>
      <c r="AK3" s="131"/>
      <c r="AL3" s="132" t="s">
        <v>31</v>
      </c>
      <c r="AM3" s="133"/>
      <c r="AN3" s="152" t="s">
        <v>29</v>
      </c>
      <c r="AO3" s="153"/>
      <c r="AP3" s="130" t="s">
        <v>30</v>
      </c>
      <c r="AQ3" s="131"/>
      <c r="AR3" s="132" t="s">
        <v>31</v>
      </c>
      <c r="AS3" s="133"/>
      <c r="AT3" s="152" t="s">
        <v>29</v>
      </c>
      <c r="AU3" s="153"/>
      <c r="AV3" s="130" t="s">
        <v>30</v>
      </c>
      <c r="AW3" s="131"/>
      <c r="AX3" s="132" t="s">
        <v>31</v>
      </c>
      <c r="AY3" s="133"/>
      <c r="AZ3" s="152" t="s">
        <v>29</v>
      </c>
      <c r="BA3" s="153"/>
      <c r="BB3" s="130" t="s">
        <v>30</v>
      </c>
      <c r="BC3" s="131"/>
      <c r="BD3" s="132" t="s">
        <v>31</v>
      </c>
      <c r="BE3" s="133"/>
      <c r="BG3" s="160" t="s">
        <v>29</v>
      </c>
      <c r="BH3" s="160"/>
      <c r="BI3" s="161" t="s">
        <v>30</v>
      </c>
      <c r="BJ3" s="161"/>
      <c r="BK3" s="158" t="s">
        <v>31</v>
      </c>
      <c r="BL3" s="158"/>
      <c r="BM3" s="160" t="s">
        <v>29</v>
      </c>
      <c r="BN3" s="160"/>
      <c r="BO3" s="161" t="s">
        <v>30</v>
      </c>
      <c r="BP3" s="161"/>
      <c r="BQ3" s="158" t="s">
        <v>31</v>
      </c>
      <c r="BR3" s="158"/>
      <c r="BS3" s="160" t="s">
        <v>29</v>
      </c>
      <c r="BT3" s="160"/>
      <c r="BU3" s="161" t="s">
        <v>30</v>
      </c>
      <c r="BV3" s="161"/>
      <c r="BW3" s="158" t="s">
        <v>31</v>
      </c>
      <c r="BX3" s="158"/>
      <c r="BY3" s="160" t="s">
        <v>29</v>
      </c>
      <c r="BZ3" s="160"/>
      <c r="CA3" s="161" t="s">
        <v>30</v>
      </c>
      <c r="CB3" s="161"/>
      <c r="CC3" s="158" t="s">
        <v>31</v>
      </c>
      <c r="CD3" s="158"/>
      <c r="CE3" s="164"/>
    </row>
    <row r="4" spans="1:83" ht="38.25" customHeight="1">
      <c r="A4" s="141"/>
      <c r="B4" s="169"/>
      <c r="C4" s="141"/>
      <c r="D4" s="141"/>
      <c r="E4" s="141"/>
      <c r="F4" s="169"/>
      <c r="G4" s="169"/>
      <c r="H4" s="172"/>
      <c r="I4" s="175"/>
      <c r="J4" s="177"/>
      <c r="K4" s="177"/>
      <c r="L4" s="132"/>
      <c r="M4" s="162"/>
      <c r="O4" s="180"/>
      <c r="P4" s="182"/>
      <c r="Q4" s="182"/>
      <c r="R4" s="157"/>
      <c r="S4" s="158"/>
      <c r="T4" s="16"/>
      <c r="U4" s="135"/>
      <c r="V4" s="136"/>
      <c r="W4" s="162"/>
      <c r="X4" s="22"/>
      <c r="Y4" s="144"/>
      <c r="Z4" s="146"/>
      <c r="AA4" s="148"/>
      <c r="AB4" s="22"/>
      <c r="AC4" s="150"/>
      <c r="AD4" s="151"/>
      <c r="AE4" s="159"/>
      <c r="AF4" s="5"/>
      <c r="AG4" s="220" t="s">
        <v>32</v>
      </c>
      <c r="AH4" s="219" t="s">
        <v>33</v>
      </c>
      <c r="AI4" s="73" t="s">
        <v>34</v>
      </c>
      <c r="AJ4" s="3" t="s">
        <v>33</v>
      </c>
      <c r="AK4" s="3" t="s">
        <v>34</v>
      </c>
      <c r="AL4" s="4" t="s">
        <v>33</v>
      </c>
      <c r="AM4" s="4" t="s">
        <v>34</v>
      </c>
      <c r="AN4" s="2" t="s">
        <v>33</v>
      </c>
      <c r="AO4" s="2" t="s">
        <v>34</v>
      </c>
      <c r="AP4" s="3" t="s">
        <v>33</v>
      </c>
      <c r="AQ4" s="3" t="s">
        <v>34</v>
      </c>
      <c r="AR4" s="4" t="s">
        <v>33</v>
      </c>
      <c r="AS4" s="4" t="s">
        <v>34</v>
      </c>
      <c r="AT4" s="2" t="s">
        <v>33</v>
      </c>
      <c r="AU4" s="2" t="s">
        <v>34</v>
      </c>
      <c r="AV4" s="3" t="s">
        <v>33</v>
      </c>
      <c r="AW4" s="3" t="s">
        <v>34</v>
      </c>
      <c r="AX4" s="4" t="s">
        <v>33</v>
      </c>
      <c r="AY4" s="4" t="s">
        <v>34</v>
      </c>
      <c r="AZ4" s="2" t="s">
        <v>33</v>
      </c>
      <c r="BA4" s="2" t="s">
        <v>34</v>
      </c>
      <c r="BB4" s="3" t="s">
        <v>33</v>
      </c>
      <c r="BC4" s="3" t="s">
        <v>34</v>
      </c>
      <c r="BD4" s="4" t="s">
        <v>33</v>
      </c>
      <c r="BE4" s="4" t="s">
        <v>34</v>
      </c>
      <c r="BG4" s="92" t="s">
        <v>33</v>
      </c>
      <c r="BH4" s="92" t="s">
        <v>34</v>
      </c>
      <c r="BI4" s="93" t="s">
        <v>33</v>
      </c>
      <c r="BJ4" s="93" t="s">
        <v>34</v>
      </c>
      <c r="BK4" s="94" t="s">
        <v>33</v>
      </c>
      <c r="BL4" s="94" t="s">
        <v>34</v>
      </c>
      <c r="BM4" s="92" t="s">
        <v>33</v>
      </c>
      <c r="BN4" s="92" t="s">
        <v>34</v>
      </c>
      <c r="BO4" s="93" t="s">
        <v>33</v>
      </c>
      <c r="BP4" s="93" t="s">
        <v>34</v>
      </c>
      <c r="BQ4" s="94" t="s">
        <v>33</v>
      </c>
      <c r="BR4" s="94" t="s">
        <v>34</v>
      </c>
      <c r="BS4" s="92" t="s">
        <v>33</v>
      </c>
      <c r="BT4" s="92" t="s">
        <v>34</v>
      </c>
      <c r="BU4" s="93" t="s">
        <v>33</v>
      </c>
      <c r="BV4" s="93" t="s">
        <v>34</v>
      </c>
      <c r="BW4" s="94" t="s">
        <v>33</v>
      </c>
      <c r="BX4" s="94" t="s">
        <v>34</v>
      </c>
      <c r="BY4" s="92" t="s">
        <v>33</v>
      </c>
      <c r="BZ4" s="92" t="s">
        <v>34</v>
      </c>
      <c r="CA4" s="93" t="s">
        <v>33</v>
      </c>
      <c r="CB4" s="93" t="s">
        <v>34</v>
      </c>
      <c r="CC4" s="94" t="s">
        <v>33</v>
      </c>
      <c r="CD4" s="94" t="s">
        <v>34</v>
      </c>
      <c r="CE4" s="164"/>
    </row>
    <row r="5" spans="1:83" ht="15" customHeight="1">
      <c r="T5" s="16"/>
    </row>
    <row r="6" spans="1:83" s="6" customFormat="1" ht="35.25" customHeight="1">
      <c r="A6" s="122" t="s">
        <v>35</v>
      </c>
      <c r="B6" s="122" t="s">
        <v>36</v>
      </c>
      <c r="C6" s="8" t="s">
        <v>37</v>
      </c>
      <c r="D6" s="83" t="s">
        <v>38</v>
      </c>
      <c r="E6" s="86" t="s">
        <v>38</v>
      </c>
      <c r="F6" s="123" t="s">
        <v>39</v>
      </c>
      <c r="G6" s="122">
        <v>32</v>
      </c>
      <c r="H6" s="122">
        <v>8</v>
      </c>
      <c r="I6" s="10">
        <f t="shared" ref="I6:I37" si="0">AVERAGE(AH6,AI6,AN6,AO6,AT6,AU6,AZ6,BA6)</f>
        <v>2.7008903720110249</v>
      </c>
      <c r="J6" s="11">
        <f t="shared" ref="J6:J37" si="1">AVERAGE(AJ6:AK6,AP6:AQ6,AV6:AW6,BB6:BC6)</f>
        <v>0.41165406379604874</v>
      </c>
      <c r="K6" s="11">
        <f>J6 * (180/PI())</f>
        <v>23.586040474922733</v>
      </c>
      <c r="L6" s="12">
        <f t="shared" ref="L6:L37" si="2">AVERAGE(AL6:AM6,AR6:AS6,AX6:AY6,BD6:BE6)</f>
        <v>0.4356716625</v>
      </c>
      <c r="M6" s="12">
        <f>L6 * (180/PI())</f>
        <v>24.962147514698017</v>
      </c>
      <c r="O6" s="30">
        <f>AVERAGE(BG6:BH6,BM6:BN6,BS6:BT6,BY6:BZ6)</f>
        <v>2.7545574296947533</v>
      </c>
      <c r="P6" s="33">
        <f>AVERAGE(BI6:BJ6,BO6:BP6,CA6:CB6,BU6:BV6)</f>
        <v>0.40703352250000002</v>
      </c>
      <c r="Q6" s="33">
        <f>P6* (180/PI())</f>
        <v>23.321302959593233</v>
      </c>
      <c r="R6" s="36">
        <f>AVERAGE(BK6:BL6,BQ6:BR6,BW6:BX6,CC6:CD6)</f>
        <v>0.40532750125</v>
      </c>
      <c r="S6" s="36">
        <f>R6* (180/PI())</f>
        <v>23.2235551422086</v>
      </c>
      <c r="T6" s="16"/>
      <c r="U6" s="58">
        <f>(I6-I$6)/I$6 *100</f>
        <v>0</v>
      </c>
      <c r="V6" s="55">
        <f t="shared" ref="V6:V37" si="3">(K6-K$6)/K$6 *100</f>
        <v>0</v>
      </c>
      <c r="W6" s="25">
        <f t="shared" ref="W6:W37" si="4">(M6-M$6)/M$6 *100</f>
        <v>0</v>
      </c>
      <c r="X6" s="24"/>
      <c r="Y6" s="53"/>
      <c r="Z6" s="49"/>
      <c r="AA6" s="26"/>
      <c r="AB6" s="39"/>
      <c r="AC6" s="25">
        <f>(O6-I6)/I6*100</f>
        <v>1.9870135507858111</v>
      </c>
      <c r="AD6" s="25">
        <f>(Q6-K6)/K6*100</f>
        <v>-1.1224330578546056</v>
      </c>
      <c r="AE6" s="25">
        <f>(S6-M6)/M6*100</f>
        <v>-6.964915063760893</v>
      </c>
      <c r="AF6" s="9"/>
      <c r="AG6" s="112" t="s">
        <v>40</v>
      </c>
      <c r="AH6" s="70">
        <v>0.95217539493138004</v>
      </c>
      <c r="AI6" s="74">
        <v>3.6076643293981201</v>
      </c>
      <c r="AJ6" s="71">
        <v>0.39092863885044998</v>
      </c>
      <c r="AK6" s="71">
        <v>0.38228488502412999</v>
      </c>
      <c r="AL6" s="72">
        <v>0.39868997</v>
      </c>
      <c r="AM6" s="72">
        <v>0.41126800000000002</v>
      </c>
      <c r="AN6" s="70">
        <v>1.7438293828286699</v>
      </c>
      <c r="AO6" s="70">
        <v>6.2238549527107896</v>
      </c>
      <c r="AP6" s="71">
        <v>0.53314859617480004</v>
      </c>
      <c r="AQ6" s="71">
        <v>0.51173182711890997</v>
      </c>
      <c r="AR6" s="72">
        <v>0.60338248999999999</v>
      </c>
      <c r="AS6" s="72">
        <v>0.59548707000000001</v>
      </c>
      <c r="AT6" s="70">
        <v>1.4675437779676299</v>
      </c>
      <c r="AU6" s="70">
        <v>5.1525547869006196</v>
      </c>
      <c r="AV6" s="71">
        <v>0.40902683995255001</v>
      </c>
      <c r="AW6" s="71">
        <v>0.39230234475767001</v>
      </c>
      <c r="AX6" s="72">
        <v>0.38004189999999999</v>
      </c>
      <c r="AY6" s="72">
        <v>0.36948487000000002</v>
      </c>
      <c r="AZ6" s="70">
        <v>0.52194377097704003</v>
      </c>
      <c r="BA6" s="70">
        <v>1.9375565803739501</v>
      </c>
      <c r="BB6" s="71">
        <v>0.34886060696371002</v>
      </c>
      <c r="BC6" s="71">
        <v>0.32494877152617002</v>
      </c>
      <c r="BD6" s="72">
        <v>0.36299555</v>
      </c>
      <c r="BE6" s="72">
        <v>0.36402345000000003</v>
      </c>
      <c r="BG6" s="31">
        <v>0.96308655473087601</v>
      </c>
      <c r="BH6" s="31">
        <v>3.6533666472928301</v>
      </c>
      <c r="BI6" s="34">
        <v>0.37204742000000002</v>
      </c>
      <c r="BJ6" s="34">
        <v>0.37021767</v>
      </c>
      <c r="BK6" s="37">
        <v>0.39095776999999998</v>
      </c>
      <c r="BL6" s="37">
        <v>0.39005476</v>
      </c>
      <c r="BM6" s="31">
        <v>1.76711351156095</v>
      </c>
      <c r="BN6" s="31">
        <v>6.34077412081011</v>
      </c>
      <c r="BO6" s="34">
        <v>0.51070623999999998</v>
      </c>
      <c r="BP6" s="34">
        <v>0.50448853000000005</v>
      </c>
      <c r="BQ6" s="37">
        <v>0.52373139999999996</v>
      </c>
      <c r="BR6" s="37">
        <v>0.53820650000000003</v>
      </c>
      <c r="BS6" s="31">
        <v>1.49408094576269</v>
      </c>
      <c r="BT6" s="31">
        <v>5.2918816222175904</v>
      </c>
      <c r="BU6" s="34">
        <v>0.41000758999999998</v>
      </c>
      <c r="BV6" s="34">
        <v>0.40087264</v>
      </c>
      <c r="BW6" s="37">
        <v>0.34815014</v>
      </c>
      <c r="BX6" s="37">
        <v>0.35673431</v>
      </c>
      <c r="BY6" s="31">
        <v>0.53358553577608603</v>
      </c>
      <c r="BZ6" s="31">
        <v>1.99257049940689</v>
      </c>
      <c r="CA6" s="34">
        <v>0.35747527000000001</v>
      </c>
      <c r="CB6" s="34">
        <v>0.33045281999999998</v>
      </c>
      <c r="CC6" s="37">
        <v>0.34737076</v>
      </c>
      <c r="CD6" s="95">
        <v>0.34741436999999997</v>
      </c>
      <c r="CE6" s="97" t="s">
        <v>41</v>
      </c>
    </row>
    <row r="7" spans="1:83" s="6" customFormat="1" ht="35.25" customHeight="1">
      <c r="A7" s="121"/>
      <c r="B7" s="120"/>
      <c r="C7" s="88" t="s">
        <v>42</v>
      </c>
      <c r="D7" s="84" t="s">
        <v>43</v>
      </c>
      <c r="E7" s="86" t="s">
        <v>38</v>
      </c>
      <c r="F7" s="124"/>
      <c r="G7" s="120"/>
      <c r="H7" s="120"/>
      <c r="I7" s="10">
        <f t="shared" si="0"/>
        <v>2.7453658251223807</v>
      </c>
      <c r="J7" s="11">
        <f t="shared" si="1"/>
        <v>0.40902154558464487</v>
      </c>
      <c r="K7" s="11">
        <f t="shared" ref="K7:K37" si="5">J7 * (180/PI())</f>
        <v>23.435208291917963</v>
      </c>
      <c r="L7" s="12">
        <f t="shared" si="2"/>
        <v>0.36733213375000001</v>
      </c>
      <c r="M7" s="12">
        <f t="shared" ref="M7:M37" si="6">L7 * (180/PI())</f>
        <v>21.046580943410067</v>
      </c>
      <c r="O7" s="30" t="e">
        <f t="shared" ref="O7:O37" si="7">AVERAGE(BG7:BH7,BM7:BN7,BS7:BT7,BY7:BZ7)</f>
        <v>#DIV/0!</v>
      </c>
      <c r="P7" s="33" t="e">
        <f t="shared" ref="P7:P37" si="8">AVERAGE(BI7:BJ7,BO7:BP7,CA7:CB7,BU7:BV7)</f>
        <v>#DIV/0!</v>
      </c>
      <c r="Q7" s="33" t="e">
        <f t="shared" ref="Q7:Q37" si="9">P7* (180/PI())</f>
        <v>#DIV/0!</v>
      </c>
      <c r="R7" s="36" t="e">
        <f t="shared" ref="R7:R37" si="10">AVERAGE(BK7:BL7,BQ7:BR7,BW7:BX7,CC7:CD7)</f>
        <v>#DIV/0!</v>
      </c>
      <c r="S7" s="36" t="e">
        <f t="shared" ref="S7:S37" si="11">R7* (180/PI())</f>
        <v>#DIV/0!</v>
      </c>
      <c r="T7" s="16"/>
      <c r="U7" s="58">
        <f t="shared" ref="U7:U70" si="12">(I7-I$6)/I$6 *100</f>
        <v>1.646695977454292</v>
      </c>
      <c r="V7" s="56">
        <f t="shared" si="3"/>
        <v>-0.6394976857821405</v>
      </c>
      <c r="W7" s="28">
        <f t="shared" si="4"/>
        <v>-15.686016473472153</v>
      </c>
      <c r="X7" s="24"/>
      <c r="Y7" s="53">
        <f>(I7-I6)/I6*100</f>
        <v>1.646695977454292</v>
      </c>
      <c r="Z7" s="50">
        <f>(K7-K6)/K6 *100</f>
        <v>-0.6394976857821405</v>
      </c>
      <c r="AA7" s="29">
        <f>(M7-M6)/M6 *100</f>
        <v>-15.686016473472153</v>
      </c>
      <c r="AB7" s="40"/>
      <c r="AC7" s="25" t="e">
        <f t="shared" ref="AC7:AC37" si="13">(O7-I7)/I7*100</f>
        <v>#DIV/0!</v>
      </c>
      <c r="AD7" s="25" t="e">
        <f t="shared" ref="AD7:AD37" si="14">(Q7-K7)/K7*100</f>
        <v>#DIV/0!</v>
      </c>
      <c r="AE7" s="25" t="e">
        <f t="shared" ref="AE7:AE37" si="15">(S7-M7)/M7*100</f>
        <v>#DIV/0!</v>
      </c>
      <c r="AG7" s="112" t="s">
        <v>40</v>
      </c>
      <c r="AH7" s="70">
        <v>0.95428325525767599</v>
      </c>
      <c r="AI7" s="74">
        <v>3.6464091684999902</v>
      </c>
      <c r="AJ7" s="71">
        <v>0.38423808311308399</v>
      </c>
      <c r="AK7" s="71">
        <v>0.38243109091654498</v>
      </c>
      <c r="AL7" s="72">
        <v>0.34397902000000002</v>
      </c>
      <c r="AM7" s="72">
        <v>0.35706117999999998</v>
      </c>
      <c r="AN7" s="70">
        <v>1.75405735620068</v>
      </c>
      <c r="AO7" s="70">
        <v>6.2714297026878896</v>
      </c>
      <c r="AP7" s="71">
        <v>0.48896893501616701</v>
      </c>
      <c r="AQ7" s="71">
        <v>0.473025319524149</v>
      </c>
      <c r="AR7" s="72">
        <v>0.45555583999999999</v>
      </c>
      <c r="AS7" s="72">
        <v>0.45284183</v>
      </c>
      <c r="AT7" s="70">
        <v>1.46944007247067</v>
      </c>
      <c r="AU7" s="70">
        <v>5.1984735957278696</v>
      </c>
      <c r="AV7" s="71">
        <v>0.41185865695768298</v>
      </c>
      <c r="AW7" s="71">
        <v>0.39456517429798099</v>
      </c>
      <c r="AX7" s="72">
        <v>0.33095289</v>
      </c>
      <c r="AY7" s="72">
        <v>0.33299443000000001</v>
      </c>
      <c r="AZ7" s="70">
        <v>0.56620867732465896</v>
      </c>
      <c r="BA7" s="70">
        <v>2.1026247728096101</v>
      </c>
      <c r="BB7" s="71">
        <v>0.37769281767127</v>
      </c>
      <c r="BC7" s="71">
        <v>0.35939228718027999</v>
      </c>
      <c r="BD7" s="72">
        <v>0.32908201999999998</v>
      </c>
      <c r="BE7" s="72">
        <v>0.33618986000000001</v>
      </c>
      <c r="BG7" s="32"/>
      <c r="BH7" s="32"/>
      <c r="BI7" s="35"/>
      <c r="BJ7" s="35"/>
      <c r="BK7" s="38"/>
      <c r="BL7" s="38"/>
      <c r="BM7" s="32"/>
      <c r="BN7" s="32"/>
      <c r="BO7" s="35"/>
      <c r="BP7" s="35"/>
      <c r="BQ7" s="38"/>
      <c r="BR7" s="38"/>
      <c r="BS7" s="32"/>
      <c r="BT7" s="32"/>
      <c r="BU7" s="35"/>
      <c r="BV7" s="35"/>
      <c r="BW7" s="38"/>
      <c r="BX7" s="38"/>
      <c r="BY7" s="32"/>
      <c r="BZ7" s="32"/>
      <c r="CA7" s="35"/>
      <c r="CB7" s="35"/>
      <c r="CC7" s="38"/>
      <c r="CD7" s="96"/>
      <c r="CE7" s="97"/>
    </row>
    <row r="8" spans="1:83" s="6" customFormat="1" ht="35.25" customHeight="1">
      <c r="A8" s="122" t="s">
        <v>44</v>
      </c>
      <c r="B8" s="120"/>
      <c r="C8" s="80" t="s">
        <v>37</v>
      </c>
      <c r="D8" s="83" t="s">
        <v>38</v>
      </c>
      <c r="E8" s="87" t="s">
        <v>45</v>
      </c>
      <c r="F8" s="128" t="s">
        <v>36</v>
      </c>
      <c r="G8" s="120"/>
      <c r="H8" s="120"/>
      <c r="I8" s="10">
        <f t="shared" si="0"/>
        <v>2.7929207645462828</v>
      </c>
      <c r="J8" s="11">
        <f t="shared" si="1"/>
        <v>0.48586359904011228</v>
      </c>
      <c r="K8" s="11">
        <f t="shared" si="5"/>
        <v>27.837933644034909</v>
      </c>
      <c r="L8" s="12">
        <f t="shared" si="2"/>
        <v>0.53498979250000001</v>
      </c>
      <c r="M8" s="12">
        <f t="shared" si="6"/>
        <v>30.652657192829665</v>
      </c>
      <c r="O8" s="30">
        <f t="shared" si="7"/>
        <v>2.8816362835793363</v>
      </c>
      <c r="P8" s="33">
        <f t="shared" si="8"/>
        <v>0.50095317875000001</v>
      </c>
      <c r="Q8" s="33">
        <f t="shared" si="9"/>
        <v>28.702502876037716</v>
      </c>
      <c r="R8" s="36">
        <f t="shared" si="10"/>
        <v>0.53836359499999997</v>
      </c>
      <c r="S8" s="36">
        <f t="shared" si="11"/>
        <v>30.845961836990348</v>
      </c>
      <c r="T8" s="16"/>
      <c r="U8" s="58">
        <f t="shared" si="12"/>
        <v>3.4074094042822649</v>
      </c>
      <c r="V8" s="55">
        <f t="shared" si="3"/>
        <v>18.027159639757656</v>
      </c>
      <c r="W8" s="25">
        <f t="shared" si="4"/>
        <v>22.79655496299349</v>
      </c>
      <c r="X8" s="24"/>
      <c r="Y8" s="53"/>
      <c r="Z8" s="49"/>
      <c r="AA8" s="26"/>
      <c r="AB8" s="39"/>
      <c r="AC8" s="25">
        <f t="shared" si="13"/>
        <v>3.1764423881701345</v>
      </c>
      <c r="AD8" s="25">
        <f t="shared" si="14"/>
        <v>3.1057234457776173</v>
      </c>
      <c r="AE8" s="25">
        <f t="shared" si="15"/>
        <v>0.63062932177345332</v>
      </c>
      <c r="AF8" s="9"/>
      <c r="AG8" s="112" t="s">
        <v>40</v>
      </c>
      <c r="AH8" s="70">
        <v>1.00497164856439</v>
      </c>
      <c r="AI8" s="74">
        <v>3.81269102717599</v>
      </c>
      <c r="AJ8" s="71">
        <v>0.48990778488504999</v>
      </c>
      <c r="AK8" s="71">
        <v>0.47912669662721302</v>
      </c>
      <c r="AL8" s="72">
        <v>0.53123335000000005</v>
      </c>
      <c r="AM8" s="72">
        <v>0.52104645999999999</v>
      </c>
      <c r="AN8" s="70">
        <v>1.7287120667315199</v>
      </c>
      <c r="AO8" s="70">
        <v>6.19162432672963</v>
      </c>
      <c r="AP8" s="71">
        <v>0.52509971484489104</v>
      </c>
      <c r="AQ8" s="71">
        <v>0.51231657971960398</v>
      </c>
      <c r="AR8" s="72">
        <v>0.72609725999999997</v>
      </c>
      <c r="AS8" s="72">
        <v>0.70710028000000003</v>
      </c>
      <c r="AT8" s="70">
        <v>1.47227376839501</v>
      </c>
      <c r="AU8" s="70">
        <v>5.21752798789585</v>
      </c>
      <c r="AV8" s="71">
        <v>0.41671563413629398</v>
      </c>
      <c r="AW8" s="71">
        <v>0.424010784433828</v>
      </c>
      <c r="AX8" s="72">
        <v>0.50347089</v>
      </c>
      <c r="AY8" s="72">
        <v>0.48425656</v>
      </c>
      <c r="AZ8" s="70">
        <v>0.61904879747189301</v>
      </c>
      <c r="BA8" s="70">
        <v>2.2965164934059801</v>
      </c>
      <c r="BB8" s="71">
        <v>0.52274459876442803</v>
      </c>
      <c r="BC8" s="71">
        <v>0.51698699890958999</v>
      </c>
      <c r="BD8" s="72">
        <v>0.39330918999999998</v>
      </c>
      <c r="BE8" s="72">
        <v>0.41340434999999998</v>
      </c>
      <c r="BG8" s="31">
        <v>1.03399042360708</v>
      </c>
      <c r="BH8" s="31">
        <v>3.9094305883918401</v>
      </c>
      <c r="BI8" s="34">
        <v>0.53009726000000001</v>
      </c>
      <c r="BJ8" s="34">
        <v>0.48860695999999998</v>
      </c>
      <c r="BK8" s="37">
        <v>0.55662634</v>
      </c>
      <c r="BL8" s="37">
        <v>0.486319</v>
      </c>
      <c r="BM8" s="31">
        <v>1.78074850118719</v>
      </c>
      <c r="BN8" s="31">
        <v>6.3468250211947401</v>
      </c>
      <c r="BO8" s="34">
        <v>0.54986177000000003</v>
      </c>
      <c r="BP8" s="34">
        <v>0.4999999</v>
      </c>
      <c r="BQ8" s="37">
        <v>0.7346492</v>
      </c>
      <c r="BR8" s="37">
        <v>0.65021943000000004</v>
      </c>
      <c r="BS8" s="31">
        <v>1.5285178822454899</v>
      </c>
      <c r="BT8" s="31">
        <v>5.39129245061857</v>
      </c>
      <c r="BU8" s="34">
        <v>0.43118224999999999</v>
      </c>
      <c r="BV8" s="34">
        <v>0.40325699999999998</v>
      </c>
      <c r="BW8" s="37">
        <v>0.52630069999999995</v>
      </c>
      <c r="BX8" s="37">
        <v>0.44085406999999999</v>
      </c>
      <c r="BY8" s="31">
        <v>0.66140712003013602</v>
      </c>
      <c r="BZ8" s="31">
        <v>2.4008782813596401</v>
      </c>
      <c r="CA8" s="34">
        <v>0.59823718999999997</v>
      </c>
      <c r="CB8" s="34">
        <v>0.50638309999999997</v>
      </c>
      <c r="CC8" s="37">
        <v>0.58208603999999997</v>
      </c>
      <c r="CD8" s="95">
        <v>0.32985397999999999</v>
      </c>
      <c r="CE8" s="99" t="s">
        <v>46</v>
      </c>
    </row>
    <row r="9" spans="1:83" s="6" customFormat="1" ht="35.25" customHeight="1">
      <c r="A9" s="120"/>
      <c r="B9" s="120"/>
      <c r="C9" s="88" t="s">
        <v>42</v>
      </c>
      <c r="D9" s="84" t="s">
        <v>43</v>
      </c>
      <c r="E9" s="87" t="s">
        <v>45</v>
      </c>
      <c r="F9" s="129"/>
      <c r="G9" s="120"/>
      <c r="H9" s="120"/>
      <c r="I9" s="10">
        <f t="shared" si="0"/>
        <v>2.8682007460455301</v>
      </c>
      <c r="J9" s="11">
        <f t="shared" si="1"/>
        <v>0.52880841247318744</v>
      </c>
      <c r="K9" s="11">
        <f t="shared" si="5"/>
        <v>30.298490205726839</v>
      </c>
      <c r="L9" s="12">
        <f t="shared" si="2"/>
        <v>0.3969259725</v>
      </c>
      <c r="M9" s="12">
        <f t="shared" si="6"/>
        <v>22.742183003375779</v>
      </c>
      <c r="O9" s="30" t="e">
        <f t="shared" si="7"/>
        <v>#DIV/0!</v>
      </c>
      <c r="P9" s="33" t="e">
        <f t="shared" si="8"/>
        <v>#DIV/0!</v>
      </c>
      <c r="Q9" s="33" t="e">
        <f t="shared" si="9"/>
        <v>#DIV/0!</v>
      </c>
      <c r="R9" s="36" t="e">
        <f t="shared" si="10"/>
        <v>#DIV/0!</v>
      </c>
      <c r="S9" s="36" t="e">
        <f t="shared" si="11"/>
        <v>#DIV/0!</v>
      </c>
      <c r="T9" s="16"/>
      <c r="U9" s="58">
        <f t="shared" si="12"/>
        <v>6.1946377301470967</v>
      </c>
      <c r="V9" s="55">
        <f t="shared" si="3"/>
        <v>28.459417501385829</v>
      </c>
      <c r="W9" s="25">
        <f t="shared" si="4"/>
        <v>-8.8933234210522016</v>
      </c>
      <c r="X9" s="24"/>
      <c r="Y9" s="53">
        <f>(I9-I8)/I8*100</f>
        <v>2.695385506630251</v>
      </c>
      <c r="Z9" s="51">
        <f>(K9-K8)/K8 *100</f>
        <v>8.8388620834979861</v>
      </c>
      <c r="AA9" s="27">
        <f>(M9-M8)/M8 *100</f>
        <v>-25.806813874864726</v>
      </c>
      <c r="AB9" s="41"/>
      <c r="AC9" s="25" t="e">
        <f t="shared" si="13"/>
        <v>#DIV/0!</v>
      </c>
      <c r="AD9" s="25" t="e">
        <f t="shared" si="14"/>
        <v>#DIV/0!</v>
      </c>
      <c r="AE9" s="25" t="e">
        <f t="shared" si="15"/>
        <v>#DIV/0!</v>
      </c>
      <c r="AF9" s="9"/>
      <c r="AG9" s="112" t="s">
        <v>40</v>
      </c>
      <c r="AH9" s="70">
        <v>0.986360922466194</v>
      </c>
      <c r="AI9" s="74">
        <v>3.7436825724252998</v>
      </c>
      <c r="AJ9" s="71">
        <v>0.48574309047719599</v>
      </c>
      <c r="AK9" s="71">
        <v>0.486040580041874</v>
      </c>
      <c r="AL9" s="72">
        <v>0.3731971</v>
      </c>
      <c r="AM9" s="72">
        <v>0.38129648999999999</v>
      </c>
      <c r="AN9" s="70">
        <v>1.7543564614912599</v>
      </c>
      <c r="AO9" s="70">
        <v>6.25329661445417</v>
      </c>
      <c r="AP9" s="71">
        <v>0.48904676947497899</v>
      </c>
      <c r="AQ9" s="71">
        <v>0.45930576909765197</v>
      </c>
      <c r="AR9" s="72">
        <v>0.47748272000000003</v>
      </c>
      <c r="AS9" s="72">
        <v>0.43744123000000001</v>
      </c>
      <c r="AT9" s="70">
        <v>1.4771182417631701</v>
      </c>
      <c r="AU9" s="70">
        <v>5.2358100826064504</v>
      </c>
      <c r="AV9" s="71">
        <v>0.43321611237216501</v>
      </c>
      <c r="AW9" s="71">
        <v>0.42746790178414301</v>
      </c>
      <c r="AX9" s="72">
        <v>0.37767629000000003</v>
      </c>
      <c r="AY9" s="72">
        <v>0.36408687000000001</v>
      </c>
      <c r="AZ9" s="70">
        <v>0.72981923449633601</v>
      </c>
      <c r="BA9" s="70">
        <v>2.7651618386613599</v>
      </c>
      <c r="BB9" s="71">
        <v>0.71692337794154304</v>
      </c>
      <c r="BC9" s="71">
        <v>0.73272369859594699</v>
      </c>
      <c r="BD9" s="72">
        <v>0.37676352000000002</v>
      </c>
      <c r="BE9" s="72">
        <v>0.38746355999999998</v>
      </c>
      <c r="BG9" s="31"/>
      <c r="BH9" s="31"/>
      <c r="BI9" s="34"/>
      <c r="BJ9" s="34"/>
      <c r="BK9" s="37"/>
      <c r="BL9" s="37"/>
      <c r="BM9" s="31"/>
      <c r="BN9" s="31"/>
      <c r="BO9" s="34"/>
      <c r="BP9" s="34"/>
      <c r="BQ9" s="37"/>
      <c r="BR9" s="37"/>
      <c r="BS9" s="31"/>
      <c r="BT9" s="31"/>
      <c r="BU9" s="34"/>
      <c r="BV9" s="34"/>
      <c r="BW9" s="37"/>
      <c r="BX9" s="37"/>
      <c r="BY9" s="31"/>
      <c r="BZ9" s="31"/>
      <c r="CA9" s="34"/>
      <c r="CB9" s="34"/>
      <c r="CC9" s="37"/>
      <c r="CD9" s="95"/>
      <c r="CE9" s="97"/>
    </row>
    <row r="10" spans="1:83" s="6" customFormat="1" ht="35.25" customHeight="1">
      <c r="A10" s="120"/>
      <c r="B10" s="120"/>
      <c r="C10" s="80" t="s">
        <v>37</v>
      </c>
      <c r="D10" s="83" t="s">
        <v>38</v>
      </c>
      <c r="E10" s="87" t="s">
        <v>45</v>
      </c>
      <c r="F10" s="128" t="s">
        <v>47</v>
      </c>
      <c r="G10" s="120"/>
      <c r="H10" s="120"/>
      <c r="I10" s="10">
        <f t="shared" si="0"/>
        <v>3.2279323965171165</v>
      </c>
      <c r="J10" s="11">
        <f t="shared" si="1"/>
        <v>0.78755880664439315</v>
      </c>
      <c r="K10" s="11">
        <f t="shared" si="5"/>
        <v>45.123795739083384</v>
      </c>
      <c r="L10" s="12">
        <f t="shared" si="2"/>
        <v>0.76447168249999997</v>
      </c>
      <c r="M10" s="12">
        <f t="shared" si="6"/>
        <v>43.801000964515076</v>
      </c>
      <c r="O10" s="30">
        <f t="shared" si="7"/>
        <v>3.2487810360100768</v>
      </c>
      <c r="P10" s="33">
        <f t="shared" si="8"/>
        <v>0.77132808875000003</v>
      </c>
      <c r="Q10" s="33">
        <f t="shared" si="9"/>
        <v>44.193844105267196</v>
      </c>
      <c r="R10" s="36">
        <f t="shared" si="10"/>
        <v>0.70310548124999994</v>
      </c>
      <c r="S10" s="36">
        <f t="shared" si="11"/>
        <v>40.284976628139631</v>
      </c>
      <c r="T10" s="16"/>
      <c r="U10" s="58">
        <f t="shared" si="12"/>
        <v>19.513640019149221</v>
      </c>
      <c r="V10" s="55">
        <f t="shared" si="3"/>
        <v>91.315688561885295</v>
      </c>
      <c r="W10" s="25">
        <f t="shared" si="4"/>
        <v>75.46968240102143</v>
      </c>
      <c r="X10" s="24"/>
      <c r="Y10" s="53"/>
      <c r="Z10" s="52"/>
      <c r="AA10" s="48"/>
      <c r="AB10" s="39"/>
      <c r="AC10" s="25">
        <f t="shared" si="13"/>
        <v>0.64588216021672773</v>
      </c>
      <c r="AD10" s="25">
        <f t="shared" si="14"/>
        <v>-2.0608896449966032</v>
      </c>
      <c r="AE10" s="25">
        <f t="shared" si="15"/>
        <v>-8.0272693750170578</v>
      </c>
      <c r="AF10" s="9"/>
      <c r="AG10" s="112" t="s">
        <v>40</v>
      </c>
      <c r="AH10" s="70">
        <v>1.15826672646993</v>
      </c>
      <c r="AI10" s="74">
        <v>4.3901861938215303</v>
      </c>
      <c r="AJ10" s="71">
        <v>0.76223970109654804</v>
      </c>
      <c r="AK10" s="71">
        <v>0.74276313684912898</v>
      </c>
      <c r="AL10" s="72">
        <v>0.79208767999999996</v>
      </c>
      <c r="AM10" s="72">
        <v>0.75557145999999997</v>
      </c>
      <c r="AN10" s="70">
        <v>1.8927560800321801</v>
      </c>
      <c r="AO10" s="70">
        <v>6.8795398214279002</v>
      </c>
      <c r="AP10" s="71">
        <v>0.73867666705300095</v>
      </c>
      <c r="AQ10" s="71">
        <v>0.75028835011578299</v>
      </c>
      <c r="AR10" s="72">
        <v>0.89016640999999996</v>
      </c>
      <c r="AS10" s="72">
        <v>0.88354392000000004</v>
      </c>
      <c r="AT10" s="70">
        <v>1.6404564800115899</v>
      </c>
      <c r="AU10" s="70">
        <v>5.9106032162466899</v>
      </c>
      <c r="AV10" s="71">
        <v>0.60131201340140195</v>
      </c>
      <c r="AW10" s="71">
        <v>0.63874052936730197</v>
      </c>
      <c r="AX10" s="72">
        <v>0.68615276999999997</v>
      </c>
      <c r="AY10" s="72">
        <v>0.67665593000000002</v>
      </c>
      <c r="AZ10" s="70">
        <v>0.81893994306618001</v>
      </c>
      <c r="BA10" s="70">
        <v>3.13271071106093</v>
      </c>
      <c r="BB10" s="71">
        <v>0.99912853515637101</v>
      </c>
      <c r="BC10" s="71">
        <v>1.0673215201156101</v>
      </c>
      <c r="BD10" s="72">
        <v>0.69551856999999995</v>
      </c>
      <c r="BE10" s="72">
        <v>0.73607672000000002</v>
      </c>
      <c r="BG10" s="31">
        <v>1.1669162670139399</v>
      </c>
      <c r="BH10" s="31">
        <v>4.4146613264033796</v>
      </c>
      <c r="BI10" s="34">
        <v>0.76692713000000001</v>
      </c>
      <c r="BJ10" s="34">
        <v>0.73486744000000004</v>
      </c>
      <c r="BK10" s="37">
        <v>0.70405629000000003</v>
      </c>
      <c r="BL10" s="37">
        <v>0.70656490999999999</v>
      </c>
      <c r="BM10" s="31">
        <v>1.91321367556327</v>
      </c>
      <c r="BN10" s="31">
        <v>6.9860518433843399</v>
      </c>
      <c r="BO10" s="34">
        <v>0.74367638000000003</v>
      </c>
      <c r="BP10" s="34">
        <v>0.77504103000000002</v>
      </c>
      <c r="BQ10" s="37">
        <v>0.83318002999999996</v>
      </c>
      <c r="BR10" s="37">
        <v>0.86182824999999996</v>
      </c>
      <c r="BS10" s="31">
        <v>1.65882051131867</v>
      </c>
      <c r="BT10" s="31">
        <v>5.9919317367385698</v>
      </c>
      <c r="BU10" s="34">
        <v>0.60031575000000004</v>
      </c>
      <c r="BV10" s="34">
        <v>0.64047911000000002</v>
      </c>
      <c r="BW10" s="37">
        <v>0.60271151999999995</v>
      </c>
      <c r="BX10" s="37">
        <v>0.63179492999999998</v>
      </c>
      <c r="BY10" s="31">
        <v>0.81311651805370899</v>
      </c>
      <c r="BZ10" s="31">
        <v>3.0455364096047401</v>
      </c>
      <c r="CA10" s="34">
        <v>0.94537638000000002</v>
      </c>
      <c r="CB10" s="34">
        <v>0.96394148999999996</v>
      </c>
      <c r="CC10" s="37">
        <v>0.64957845999999997</v>
      </c>
      <c r="CD10" s="95">
        <v>0.63512946000000003</v>
      </c>
      <c r="CE10" s="97" t="s">
        <v>46</v>
      </c>
    </row>
    <row r="11" spans="1:83" s="6" customFormat="1" ht="35.25" customHeight="1">
      <c r="A11" s="120"/>
      <c r="B11" s="120"/>
      <c r="C11" s="88" t="s">
        <v>42</v>
      </c>
      <c r="D11" s="84" t="s">
        <v>43</v>
      </c>
      <c r="E11" s="87" t="s">
        <v>45</v>
      </c>
      <c r="F11" s="129"/>
      <c r="G11" s="120"/>
      <c r="H11" s="120"/>
      <c r="I11" s="10">
        <f t="shared" si="0"/>
        <v>3.5595663448030077</v>
      </c>
      <c r="J11" s="11">
        <f t="shared" si="1"/>
        <v>0.90420884773756782</v>
      </c>
      <c r="K11" s="11">
        <f t="shared" si="5"/>
        <v>51.80735077374991</v>
      </c>
      <c r="L11" s="12">
        <f t="shared" si="2"/>
        <v>0.80748442499999984</v>
      </c>
      <c r="M11" s="12">
        <f t="shared" si="6"/>
        <v>46.265449575048052</v>
      </c>
      <c r="O11" s="30" t="e">
        <f t="shared" si="7"/>
        <v>#DIV/0!</v>
      </c>
      <c r="P11" s="33" t="e">
        <f t="shared" si="8"/>
        <v>#DIV/0!</v>
      </c>
      <c r="Q11" s="33" t="e">
        <f t="shared" si="9"/>
        <v>#DIV/0!</v>
      </c>
      <c r="R11" s="36" t="e">
        <f t="shared" si="10"/>
        <v>#DIV/0!</v>
      </c>
      <c r="S11" s="36" t="e">
        <f t="shared" si="11"/>
        <v>#DIV/0!</v>
      </c>
      <c r="T11" s="16"/>
      <c r="U11" s="58">
        <f t="shared" si="12"/>
        <v>31.792329732829224</v>
      </c>
      <c r="V11" s="55">
        <f t="shared" si="3"/>
        <v>119.65259844624103</v>
      </c>
      <c r="W11" s="25">
        <f t="shared" si="4"/>
        <v>85.342425157156015</v>
      </c>
      <c r="X11" s="24"/>
      <c r="Y11" s="53">
        <f>(I11-I10)/I10*100</f>
        <v>10.273881468017066</v>
      </c>
      <c r="Z11" s="51">
        <f>(K11-K10)/K10 *100</f>
        <v>14.811597573290255</v>
      </c>
      <c r="AA11" s="27">
        <f>(M11-M10)/M10 *100</f>
        <v>5.6264664191796063</v>
      </c>
      <c r="AB11" s="41"/>
      <c r="AC11" s="25" t="e">
        <f t="shared" si="13"/>
        <v>#DIV/0!</v>
      </c>
      <c r="AD11" s="25" t="e">
        <f t="shared" si="14"/>
        <v>#DIV/0!</v>
      </c>
      <c r="AE11" s="25" t="e">
        <f t="shared" si="15"/>
        <v>#DIV/0!</v>
      </c>
      <c r="AF11" s="9"/>
      <c r="AG11" s="112" t="s">
        <v>40</v>
      </c>
      <c r="AH11" s="70">
        <v>1.1732428816260301</v>
      </c>
      <c r="AI11" s="74">
        <v>4.4946098706350703</v>
      </c>
      <c r="AJ11" s="71">
        <v>0.77373098440039201</v>
      </c>
      <c r="AK11" s="71">
        <v>0.77774510902248695</v>
      </c>
      <c r="AL11" s="72">
        <v>0.52122950000000001</v>
      </c>
      <c r="AM11" s="72">
        <v>0.51397702999999995</v>
      </c>
      <c r="AN11" s="70">
        <v>1.97271859229038</v>
      </c>
      <c r="AO11" s="70">
        <v>7.1324467151333302</v>
      </c>
      <c r="AP11" s="71">
        <v>0.691253302856357</v>
      </c>
      <c r="AQ11" s="71">
        <v>0.65242529141243699</v>
      </c>
      <c r="AR11" s="72">
        <v>0.58330689000000002</v>
      </c>
      <c r="AS11" s="72">
        <v>0.53074988999999995</v>
      </c>
      <c r="AT11" s="70">
        <v>1.6841521086243201</v>
      </c>
      <c r="AU11" s="70">
        <v>6.0403531876374803</v>
      </c>
      <c r="AV11" s="71">
        <v>0.69190432203463104</v>
      </c>
      <c r="AW11" s="71">
        <v>0.67228858856025797</v>
      </c>
      <c r="AX11" s="72">
        <v>0.54450438000000001</v>
      </c>
      <c r="AY11" s="72">
        <v>0.51188237000000003</v>
      </c>
      <c r="AZ11" s="70">
        <v>1.21338485965178</v>
      </c>
      <c r="BA11" s="70">
        <v>4.7656225428256702</v>
      </c>
      <c r="BB11" s="71">
        <v>1.46914252302575</v>
      </c>
      <c r="BC11" s="71">
        <v>1.5051806605882301</v>
      </c>
      <c r="BD11" s="72">
        <v>1.6318913799999999</v>
      </c>
      <c r="BE11" s="72">
        <v>1.62233396</v>
      </c>
      <c r="BG11" s="31"/>
      <c r="BH11" s="31"/>
      <c r="BI11" s="34"/>
      <c r="BJ11" s="34"/>
      <c r="BK11" s="37"/>
      <c r="BL11" s="37"/>
      <c r="BM11" s="31"/>
      <c r="BN11" s="31"/>
      <c r="BO11" s="34"/>
      <c r="BP11" s="34"/>
      <c r="BQ11" s="37"/>
      <c r="BR11" s="37"/>
      <c r="BS11" s="31"/>
      <c r="BT11" s="31"/>
      <c r="BU11" s="34"/>
      <c r="BV11" s="34"/>
      <c r="BW11" s="37"/>
      <c r="BX11" s="37"/>
      <c r="BY11" s="31"/>
      <c r="BZ11" s="31"/>
      <c r="CA11" s="34"/>
      <c r="CB11" s="34"/>
      <c r="CC11" s="37"/>
      <c r="CD11" s="95"/>
      <c r="CE11" s="97"/>
    </row>
    <row r="12" spans="1:83" s="6" customFormat="1" ht="35.25" customHeight="1">
      <c r="A12" s="120"/>
      <c r="B12" s="120"/>
      <c r="C12" s="80" t="s">
        <v>37</v>
      </c>
      <c r="D12" s="83" t="s">
        <v>38</v>
      </c>
      <c r="E12" s="87" t="s">
        <v>45</v>
      </c>
      <c r="F12" s="128" t="s">
        <v>48</v>
      </c>
      <c r="G12" s="120"/>
      <c r="H12" s="120"/>
      <c r="I12" s="10">
        <f t="shared" si="0"/>
        <v>3.5046819369157234</v>
      </c>
      <c r="J12" s="11">
        <f t="shared" si="1"/>
        <v>1.0543328941604595</v>
      </c>
      <c r="K12" s="11">
        <f t="shared" si="5"/>
        <v>60.408825037207649</v>
      </c>
      <c r="L12" s="12">
        <f t="shared" si="2"/>
        <v>0.99876501000000018</v>
      </c>
      <c r="M12" s="12">
        <f t="shared" si="6"/>
        <v>57.225019798341471</v>
      </c>
      <c r="O12" s="30">
        <f t="shared" si="7"/>
        <v>3.5204099287008996</v>
      </c>
      <c r="P12" s="33">
        <f t="shared" si="8"/>
        <v>1.08110438625</v>
      </c>
      <c r="Q12" s="33">
        <f t="shared" si="9"/>
        <v>61.942718545206191</v>
      </c>
      <c r="R12" s="36">
        <f t="shared" si="10"/>
        <v>0.9713411312500001</v>
      </c>
      <c r="S12" s="36">
        <f t="shared" si="11"/>
        <v>55.653747288087963</v>
      </c>
      <c r="T12" s="16"/>
      <c r="U12" s="58">
        <f t="shared" si="12"/>
        <v>29.760244000803798</v>
      </c>
      <c r="V12" s="55">
        <f t="shared" si="3"/>
        <v>156.12109460015478</v>
      </c>
      <c r="W12" s="25">
        <f t="shared" si="4"/>
        <v>129.24718221718175</v>
      </c>
      <c r="X12" s="24"/>
      <c r="Y12" s="53"/>
      <c r="Z12" s="52"/>
      <c r="AA12" s="48"/>
      <c r="AB12" s="39"/>
      <c r="AC12" s="25">
        <f t="shared" si="13"/>
        <v>0.44877087474070726</v>
      </c>
      <c r="AD12" s="25">
        <f t="shared" si="14"/>
        <v>2.539187787634952</v>
      </c>
      <c r="AE12" s="25">
        <f t="shared" si="15"/>
        <v>-2.745778884464531</v>
      </c>
      <c r="AF12" s="9"/>
      <c r="AG12" s="112" t="s">
        <v>40</v>
      </c>
      <c r="AH12" s="70">
        <v>1.23889579641032</v>
      </c>
      <c r="AI12" s="74">
        <v>4.7048300901292404</v>
      </c>
      <c r="AJ12" s="71">
        <v>1.0077015259895299</v>
      </c>
      <c r="AK12" s="71">
        <v>0.98622620317160503</v>
      </c>
      <c r="AL12" s="72">
        <v>1.00441694</v>
      </c>
      <c r="AM12" s="72">
        <v>0.91855430999999998</v>
      </c>
      <c r="AN12" s="70">
        <v>2.0345053433729001</v>
      </c>
      <c r="AO12" s="70">
        <v>7.4526796165876998</v>
      </c>
      <c r="AP12" s="71">
        <v>1.0157333641558299</v>
      </c>
      <c r="AQ12" s="71">
        <v>1.0501330049578099</v>
      </c>
      <c r="AR12" s="72">
        <v>1.0537030300000001</v>
      </c>
      <c r="AS12" s="72">
        <v>1.05022357</v>
      </c>
      <c r="AT12" s="70">
        <v>1.7723892609593901</v>
      </c>
      <c r="AU12" s="70">
        <v>6.4404773125103496</v>
      </c>
      <c r="AV12" s="71">
        <v>0.877056658413639</v>
      </c>
      <c r="AW12" s="71">
        <v>0.93884976511896101</v>
      </c>
      <c r="AX12" s="72">
        <v>0.86775051999999997</v>
      </c>
      <c r="AY12" s="72">
        <v>0.89127308000000005</v>
      </c>
      <c r="AZ12" s="70">
        <v>0.908368135442575</v>
      </c>
      <c r="BA12" s="70">
        <v>3.4853099399133098</v>
      </c>
      <c r="BB12" s="71">
        <v>1.2591070525095001</v>
      </c>
      <c r="BC12" s="71">
        <v>1.2998555789668</v>
      </c>
      <c r="BD12" s="72">
        <v>1.0431303300000001</v>
      </c>
      <c r="BE12" s="72">
        <v>1.1610682999999999</v>
      </c>
      <c r="BG12" s="31">
        <v>1.24357408983448</v>
      </c>
      <c r="BH12" s="31">
        <v>4.74382882672466</v>
      </c>
      <c r="BI12" s="34">
        <v>1.0161612499999999</v>
      </c>
      <c r="BJ12" s="34">
        <v>0.99553510999999995</v>
      </c>
      <c r="BK12" s="37">
        <v>0.95513051999999998</v>
      </c>
      <c r="BL12" s="37">
        <v>0.84690591000000004</v>
      </c>
      <c r="BM12" s="31">
        <v>2.0685009822787999</v>
      </c>
      <c r="BN12" s="31">
        <v>7.6045660488002804</v>
      </c>
      <c r="BO12" s="34">
        <v>1.0879658699999999</v>
      </c>
      <c r="BP12" s="34">
        <v>1.1324180699999999</v>
      </c>
      <c r="BQ12" s="37">
        <v>1.07602171</v>
      </c>
      <c r="BR12" s="37">
        <v>1.0278390500000001</v>
      </c>
      <c r="BS12" s="31">
        <v>1.7940410499058299</v>
      </c>
      <c r="BT12" s="31">
        <v>6.5266807437169101</v>
      </c>
      <c r="BU12" s="34">
        <v>0.92858980000000002</v>
      </c>
      <c r="BV12" s="34">
        <v>0.96802657000000003</v>
      </c>
      <c r="BW12" s="37">
        <v>0.83562121</v>
      </c>
      <c r="BX12" s="37">
        <v>0.77942482000000002</v>
      </c>
      <c r="BY12" s="31">
        <v>0.86524580510539895</v>
      </c>
      <c r="BZ12" s="31">
        <v>3.3168418832408402</v>
      </c>
      <c r="CA12" s="34">
        <v>1.24473916</v>
      </c>
      <c r="CB12" s="34">
        <v>1.2753992599999999</v>
      </c>
      <c r="CC12" s="37">
        <v>1.2276439400000001</v>
      </c>
      <c r="CD12" s="95">
        <v>1.0221418900000001</v>
      </c>
      <c r="CE12" s="99" t="s">
        <v>46</v>
      </c>
    </row>
    <row r="13" spans="1:83" s="6" customFormat="1" ht="35.25" customHeight="1">
      <c r="A13" s="121"/>
      <c r="B13" s="121"/>
      <c r="C13" s="88" t="s">
        <v>42</v>
      </c>
      <c r="D13" s="84" t="s">
        <v>43</v>
      </c>
      <c r="E13" s="87" t="s">
        <v>45</v>
      </c>
      <c r="F13" s="129"/>
      <c r="G13" s="121"/>
      <c r="H13" s="121"/>
      <c r="I13" s="10">
        <f t="shared" si="0"/>
        <v>4.0462531530309009</v>
      </c>
      <c r="J13" s="11">
        <f t="shared" si="1"/>
        <v>1.2681440516749238</v>
      </c>
      <c r="K13" s="11">
        <f t="shared" si="5"/>
        <v>72.659301975593308</v>
      </c>
      <c r="L13" s="12">
        <f t="shared" si="2"/>
        <v>1.2129915812500001</v>
      </c>
      <c r="M13" s="12">
        <f t="shared" si="6"/>
        <v>69.499298190525082</v>
      </c>
      <c r="O13" s="30" t="e">
        <f t="shared" si="7"/>
        <v>#DIV/0!</v>
      </c>
      <c r="P13" s="33" t="e">
        <f t="shared" si="8"/>
        <v>#DIV/0!</v>
      </c>
      <c r="Q13" s="33" t="e">
        <f t="shared" si="9"/>
        <v>#DIV/0!</v>
      </c>
      <c r="R13" s="36" t="e">
        <f t="shared" si="10"/>
        <v>#DIV/0!</v>
      </c>
      <c r="S13" s="36" t="e">
        <f t="shared" si="11"/>
        <v>#DIV/0!</v>
      </c>
      <c r="T13" s="16"/>
      <c r="U13" s="58">
        <f t="shared" si="12"/>
        <v>49.811824832347703</v>
      </c>
      <c r="V13" s="55">
        <f t="shared" si="3"/>
        <v>208.06061768971566</v>
      </c>
      <c r="W13" s="25">
        <f t="shared" si="4"/>
        <v>178.4187464223703</v>
      </c>
      <c r="X13" s="24"/>
      <c r="Y13" s="53">
        <f>(I13-I12)/I12*100</f>
        <v>15.45279217525184</v>
      </c>
      <c r="Z13" s="51">
        <f>(K13-K12)/K12 *100</f>
        <v>20.279283582887459</v>
      </c>
      <c r="AA13" s="27">
        <f>(M13-M12)/M12 *100</f>
        <v>21.449146606567624</v>
      </c>
      <c r="AB13" s="41"/>
      <c r="AC13" s="25" t="e">
        <f t="shared" si="13"/>
        <v>#DIV/0!</v>
      </c>
      <c r="AD13" s="25" t="e">
        <f t="shared" si="14"/>
        <v>#DIV/0!</v>
      </c>
      <c r="AE13" s="25" t="e">
        <f t="shared" si="15"/>
        <v>#DIV/0!</v>
      </c>
      <c r="AF13" s="9"/>
      <c r="AG13" s="112" t="s">
        <v>40</v>
      </c>
      <c r="AH13" s="70">
        <v>1.33006026345513</v>
      </c>
      <c r="AI13" s="74">
        <v>5.0934199275489096</v>
      </c>
      <c r="AJ13" s="71">
        <v>1.16140200341261</v>
      </c>
      <c r="AK13" s="71">
        <v>1.1408998132527499</v>
      </c>
      <c r="AL13" s="72">
        <v>1.0219422499999999</v>
      </c>
      <c r="AM13" s="72">
        <v>0.97966914000000005</v>
      </c>
      <c r="AN13" s="70">
        <v>2.1793453638283502</v>
      </c>
      <c r="AO13" s="70">
        <v>7.96143071094167</v>
      </c>
      <c r="AP13" s="71">
        <v>1.0562594166200501</v>
      </c>
      <c r="AQ13" s="71">
        <v>1.0303249371657</v>
      </c>
      <c r="AR13" s="72">
        <v>0.98053268999999998</v>
      </c>
      <c r="AS13" s="72">
        <v>0.93523939</v>
      </c>
      <c r="AT13" s="70">
        <v>1.8530294432096699</v>
      </c>
      <c r="AU13" s="70">
        <v>6.6992266013673403</v>
      </c>
      <c r="AV13" s="71">
        <v>1.0398462273313001</v>
      </c>
      <c r="AW13" s="71">
        <v>1.03512573086655</v>
      </c>
      <c r="AX13" s="72">
        <v>0.93619655000000002</v>
      </c>
      <c r="AY13" s="72">
        <v>0.92074358999999995</v>
      </c>
      <c r="AZ13" s="70">
        <v>1.45509433525229</v>
      </c>
      <c r="BA13" s="70">
        <v>5.79841857864385</v>
      </c>
      <c r="BB13" s="71">
        <v>1.83645093758061</v>
      </c>
      <c r="BC13" s="71">
        <v>1.84484334716982</v>
      </c>
      <c r="BD13" s="72">
        <v>1.96719423</v>
      </c>
      <c r="BE13" s="72">
        <v>1.9624148100000001</v>
      </c>
      <c r="BG13" s="31"/>
      <c r="BH13" s="31"/>
      <c r="BI13" s="34"/>
      <c r="BJ13" s="34"/>
      <c r="BK13" s="37"/>
      <c r="BL13" s="37"/>
      <c r="BM13" s="31"/>
      <c r="BN13" s="31"/>
      <c r="BO13" s="34"/>
      <c r="BP13" s="34"/>
      <c r="BQ13" s="37"/>
      <c r="BR13" s="37"/>
      <c r="BS13" s="31"/>
      <c r="BT13" s="31"/>
      <c r="BU13" s="34"/>
      <c r="BV13" s="34"/>
      <c r="BW13" s="37"/>
      <c r="BX13" s="37"/>
      <c r="BY13" s="31"/>
      <c r="BZ13" s="31"/>
      <c r="CA13" s="34"/>
      <c r="CB13" s="34"/>
      <c r="CC13" s="37"/>
      <c r="CD13" s="95"/>
      <c r="CE13" s="97"/>
    </row>
    <row r="14" spans="1:83" s="6" customFormat="1" ht="35.25" customHeight="1">
      <c r="A14" s="122" t="s">
        <v>49</v>
      </c>
      <c r="B14" s="122" t="s">
        <v>36</v>
      </c>
      <c r="C14" s="81" t="s">
        <v>50</v>
      </c>
      <c r="D14" s="83" t="s">
        <v>38</v>
      </c>
      <c r="E14" s="86" t="s">
        <v>38</v>
      </c>
      <c r="F14" s="123" t="s">
        <v>39</v>
      </c>
      <c r="G14" s="125">
        <v>16</v>
      </c>
      <c r="H14" s="122">
        <v>8</v>
      </c>
      <c r="I14" s="10">
        <f t="shared" si="0"/>
        <v>2.9056504003740868</v>
      </c>
      <c r="J14" s="11">
        <f t="shared" si="1"/>
        <v>0.51344524257479873</v>
      </c>
      <c r="K14" s="11">
        <f t="shared" si="5"/>
        <v>29.418245410606737</v>
      </c>
      <c r="L14" s="12">
        <f t="shared" si="2"/>
        <v>0.44420559000000004</v>
      </c>
      <c r="M14" s="12">
        <f t="shared" si="6"/>
        <v>25.451105543118647</v>
      </c>
      <c r="O14" s="30">
        <f t="shared" si="7"/>
        <v>2.913211528898024</v>
      </c>
      <c r="P14" s="33">
        <f t="shared" si="8"/>
        <v>0.48325474499999999</v>
      </c>
      <c r="Q14" s="33">
        <f t="shared" si="9"/>
        <v>27.688457318170823</v>
      </c>
      <c r="R14" s="36">
        <f t="shared" si="10"/>
        <v>0.44335762249999999</v>
      </c>
      <c r="S14" s="36">
        <f t="shared" si="11"/>
        <v>25.402520584204385</v>
      </c>
      <c r="T14" s="16"/>
      <c r="U14" s="58">
        <f t="shared" si="12"/>
        <v>7.5812047199310078</v>
      </c>
      <c r="V14" s="55">
        <f t="shared" si="3"/>
        <v>24.727359142306867</v>
      </c>
      <c r="W14" s="25">
        <f t="shared" si="4"/>
        <v>1.9587979284744039</v>
      </c>
      <c r="X14" s="24"/>
      <c r="Y14" s="53"/>
      <c r="Z14" s="49"/>
      <c r="AA14" s="26"/>
      <c r="AB14" s="39"/>
      <c r="AC14" s="25">
        <f t="shared" si="13"/>
        <v>0.26022155049911527</v>
      </c>
      <c r="AD14" s="25">
        <f t="shared" si="14"/>
        <v>-5.879983895342173</v>
      </c>
      <c r="AE14" s="25">
        <f t="shared" si="15"/>
        <v>-0.19089527891804256</v>
      </c>
      <c r="AF14" s="9"/>
      <c r="AG14" s="112" t="s">
        <v>40</v>
      </c>
      <c r="AH14" s="70">
        <v>1.00341641377019</v>
      </c>
      <c r="AI14" s="74">
        <v>3.8248831120544899</v>
      </c>
      <c r="AJ14" s="71">
        <v>0.47636960367365</v>
      </c>
      <c r="AK14" s="71">
        <v>0.46672926448798002</v>
      </c>
      <c r="AL14" s="72">
        <v>0.36728416000000003</v>
      </c>
      <c r="AM14" s="72">
        <v>0.37499679000000002</v>
      </c>
      <c r="AN14" s="70">
        <v>1.8059012489566</v>
      </c>
      <c r="AO14" s="70">
        <v>6.4610794292856903</v>
      </c>
      <c r="AP14" s="71">
        <v>0.64965245112839998</v>
      </c>
      <c r="AQ14" s="71">
        <v>0.63242351111037998</v>
      </c>
      <c r="AR14" s="72">
        <v>0.60613293999999995</v>
      </c>
      <c r="AS14" s="72">
        <v>0.58276322999999997</v>
      </c>
      <c r="AT14" s="70">
        <v>1.5382631719226301</v>
      </c>
      <c r="AU14" s="70">
        <v>5.42742382622116</v>
      </c>
      <c r="AV14" s="71">
        <v>0.55351842317347999</v>
      </c>
      <c r="AW14" s="71">
        <v>0.51636947097007002</v>
      </c>
      <c r="AX14" s="72">
        <v>0.44489863000000002</v>
      </c>
      <c r="AY14" s="72">
        <v>0.41334180999999998</v>
      </c>
      <c r="AZ14" s="70">
        <v>0.65730145966352005</v>
      </c>
      <c r="BA14" s="70">
        <v>2.5269345411184099</v>
      </c>
      <c r="BB14" s="71">
        <v>0.40689684740206999</v>
      </c>
      <c r="BC14" s="71">
        <v>0.40560236865235999</v>
      </c>
      <c r="BD14" s="72">
        <v>0.38272061000000002</v>
      </c>
      <c r="BE14" s="72">
        <v>0.38150655</v>
      </c>
      <c r="BG14" s="31">
        <v>0.99760230853236798</v>
      </c>
      <c r="BH14" s="31">
        <v>3.8043773548887398</v>
      </c>
      <c r="BI14" s="34">
        <v>0.43692868000000001</v>
      </c>
      <c r="BJ14" s="34">
        <v>0.43290447999999998</v>
      </c>
      <c r="BK14" s="37">
        <v>0.36670323999999999</v>
      </c>
      <c r="BL14" s="37">
        <v>0.36394300000000002</v>
      </c>
      <c r="BM14" s="31">
        <v>1.7880189017552499</v>
      </c>
      <c r="BN14" s="31">
        <v>6.3941152032612401</v>
      </c>
      <c r="BO14" s="34">
        <v>0.59942773999999999</v>
      </c>
      <c r="BP14" s="34">
        <v>0.58368529999999996</v>
      </c>
      <c r="BQ14" s="37">
        <v>0.56761251999999995</v>
      </c>
      <c r="BR14" s="37">
        <v>0.54098552</v>
      </c>
      <c r="BS14" s="31">
        <v>1.5268374629457599</v>
      </c>
      <c r="BT14" s="31">
        <v>5.3909338094650998</v>
      </c>
      <c r="BU14" s="34">
        <v>0.51914218000000001</v>
      </c>
      <c r="BV14" s="34">
        <v>0.4916276</v>
      </c>
      <c r="BW14" s="37">
        <v>0.42600366000000001</v>
      </c>
      <c r="BX14" s="37">
        <v>0.40556724</v>
      </c>
      <c r="BY14" s="31">
        <v>0.70040218453724401</v>
      </c>
      <c r="BZ14" s="31">
        <v>2.7034050057984902</v>
      </c>
      <c r="CA14" s="34">
        <v>0.40044763999999999</v>
      </c>
      <c r="CB14" s="34">
        <v>0.40187434</v>
      </c>
      <c r="CC14" s="37">
        <v>0.44552876000000002</v>
      </c>
      <c r="CD14" s="95">
        <v>0.43051704000000002</v>
      </c>
      <c r="CE14" s="97" t="s">
        <v>51</v>
      </c>
    </row>
    <row r="15" spans="1:83" s="6" customFormat="1" ht="35.25" customHeight="1">
      <c r="A15" s="120"/>
      <c r="B15" s="120"/>
      <c r="C15" s="91" t="s">
        <v>52</v>
      </c>
      <c r="D15" s="84" t="s">
        <v>43</v>
      </c>
      <c r="E15" s="86" t="s">
        <v>38</v>
      </c>
      <c r="F15" s="124"/>
      <c r="G15" s="126"/>
      <c r="H15" s="120"/>
      <c r="I15" s="10">
        <f t="shared" si="0"/>
        <v>2.7907646172120821</v>
      </c>
      <c r="J15" s="11">
        <f t="shared" si="1"/>
        <v>0.43188554309598048</v>
      </c>
      <c r="K15" s="11">
        <f t="shared" si="5"/>
        <v>24.745218852115112</v>
      </c>
      <c r="L15" s="12">
        <f t="shared" si="2"/>
        <v>0.52569738500000007</v>
      </c>
      <c r="M15" s="12">
        <f t="shared" si="6"/>
        <v>30.120241461563953</v>
      </c>
      <c r="O15" s="30" t="e">
        <f t="shared" si="7"/>
        <v>#DIV/0!</v>
      </c>
      <c r="P15" s="33" t="e">
        <f t="shared" si="8"/>
        <v>#DIV/0!</v>
      </c>
      <c r="Q15" s="33" t="e">
        <f t="shared" si="9"/>
        <v>#DIV/0!</v>
      </c>
      <c r="R15" s="36" t="e">
        <f t="shared" si="10"/>
        <v>#DIV/0!</v>
      </c>
      <c r="S15" s="36" t="e">
        <f t="shared" si="11"/>
        <v>#DIV/0!</v>
      </c>
      <c r="T15" s="16"/>
      <c r="U15" s="58">
        <f t="shared" si="12"/>
        <v>3.3275784212647923</v>
      </c>
      <c r="V15" s="55">
        <f t="shared" si="3"/>
        <v>4.9146798438883659</v>
      </c>
      <c r="W15" s="25">
        <f t="shared" si="4"/>
        <v>20.663662626898535</v>
      </c>
      <c r="X15" s="24"/>
      <c r="Y15" s="53">
        <f>(I15-I14)/I14*100</f>
        <v>-3.9538749447357393</v>
      </c>
      <c r="Z15" s="51">
        <f>(K15-K14)/K14 *100</f>
        <v>-15.884790181289219</v>
      </c>
      <c r="AA15" s="27">
        <f>(M15-M14)/M14 *100</f>
        <v>18.345513166549757</v>
      </c>
      <c r="AB15" s="40"/>
      <c r="AC15" s="25" t="e">
        <f t="shared" si="13"/>
        <v>#DIV/0!</v>
      </c>
      <c r="AD15" s="25" t="e">
        <f t="shared" si="14"/>
        <v>#DIV/0!</v>
      </c>
      <c r="AE15" s="25" t="e">
        <f t="shared" si="15"/>
        <v>#DIV/0!</v>
      </c>
      <c r="AG15" s="112" t="s">
        <v>40</v>
      </c>
      <c r="AH15" s="76">
        <v>0.96227220594530405</v>
      </c>
      <c r="AI15" s="75">
        <v>3.6830649150811499</v>
      </c>
      <c r="AJ15" s="77">
        <v>0.39559339353169498</v>
      </c>
      <c r="AK15" s="77">
        <v>0.392958448819829</v>
      </c>
      <c r="AL15" s="78">
        <v>0.47870432000000002</v>
      </c>
      <c r="AM15" s="78">
        <v>0.47613571999999998</v>
      </c>
      <c r="AN15" s="76">
        <v>1.7504716263720601</v>
      </c>
      <c r="AO15" s="76">
        <v>6.27040009618303</v>
      </c>
      <c r="AP15" s="77">
        <v>0.50942347190315795</v>
      </c>
      <c r="AQ15" s="77">
        <v>0.48730627131689302</v>
      </c>
      <c r="AR15" s="78">
        <v>0.58026142999999997</v>
      </c>
      <c r="AS15" s="78">
        <v>0.54521450000000005</v>
      </c>
      <c r="AT15" s="76">
        <v>1.47754600103845</v>
      </c>
      <c r="AU15" s="76">
        <v>5.2161276641966197</v>
      </c>
      <c r="AV15" s="77">
        <v>0.441347768653717</v>
      </c>
      <c r="AW15" s="77">
        <v>0.42538990420106698</v>
      </c>
      <c r="AX15" s="78">
        <v>0.47445636000000002</v>
      </c>
      <c r="AY15" s="78">
        <v>0.45587742999999997</v>
      </c>
      <c r="AZ15" s="76">
        <v>0.61718539313943799</v>
      </c>
      <c r="BA15" s="76">
        <v>2.34904903574061</v>
      </c>
      <c r="BB15" s="77">
        <v>0.398033393201977</v>
      </c>
      <c r="BC15" s="77">
        <v>0.40503169313950799</v>
      </c>
      <c r="BD15" s="78">
        <v>0.57648677000000004</v>
      </c>
      <c r="BE15" s="78">
        <v>0.61844255000000004</v>
      </c>
      <c r="BG15" s="32"/>
      <c r="BH15" s="32"/>
      <c r="BI15" s="35"/>
      <c r="BJ15" s="35"/>
      <c r="BK15" s="38"/>
      <c r="BL15" s="38"/>
      <c r="BM15" s="32"/>
      <c r="BN15" s="32"/>
      <c r="BO15" s="35"/>
      <c r="BP15" s="35"/>
      <c r="BQ15" s="38"/>
      <c r="BR15" s="38"/>
      <c r="BS15" s="32"/>
      <c r="BT15" s="32"/>
      <c r="BU15" s="35"/>
      <c r="BV15" s="35"/>
      <c r="BW15" s="38"/>
      <c r="BX15" s="38"/>
      <c r="BY15" s="32"/>
      <c r="BZ15" s="32"/>
      <c r="CA15" s="35"/>
      <c r="CB15" s="35"/>
      <c r="CC15" s="38"/>
      <c r="CD15" s="96"/>
      <c r="CE15" s="97"/>
    </row>
    <row r="16" spans="1:83" s="7" customFormat="1" ht="35.25" customHeight="1">
      <c r="A16" s="120"/>
      <c r="B16" s="120"/>
      <c r="C16" s="82" t="s">
        <v>50</v>
      </c>
      <c r="D16" s="83" t="s">
        <v>38</v>
      </c>
      <c r="E16" s="87" t="s">
        <v>45</v>
      </c>
      <c r="F16" s="128" t="s">
        <v>36</v>
      </c>
      <c r="G16" s="126"/>
      <c r="H16" s="120"/>
      <c r="I16" s="10">
        <f t="shared" si="0"/>
        <v>3.0932460694996031</v>
      </c>
      <c r="J16" s="11">
        <f t="shared" si="1"/>
        <v>0.64576577678988334</v>
      </c>
      <c r="K16" s="11">
        <f t="shared" si="5"/>
        <v>36.999653564047492</v>
      </c>
      <c r="L16" s="12">
        <f t="shared" si="2"/>
        <v>0.57341709125000007</v>
      </c>
      <c r="M16" s="12">
        <f t="shared" si="6"/>
        <v>32.854379229293009</v>
      </c>
      <c r="O16" s="30">
        <f t="shared" si="7"/>
        <v>3.0665953174425553</v>
      </c>
      <c r="P16" s="33">
        <f t="shared" si="8"/>
        <v>0.60725383500000008</v>
      </c>
      <c r="Q16" s="33">
        <f t="shared" si="9"/>
        <v>34.793081838633675</v>
      </c>
      <c r="R16" s="36">
        <f t="shared" si="10"/>
        <v>0.53131004500000001</v>
      </c>
      <c r="S16" s="36">
        <f t="shared" si="11"/>
        <v>30.441823191405849</v>
      </c>
      <c r="T16" s="16"/>
      <c r="U16" s="58">
        <f t="shared" si="12"/>
        <v>14.526902000707221</v>
      </c>
      <c r="V16" s="55">
        <f t="shared" si="3"/>
        <v>56.87098308589119</v>
      </c>
      <c r="W16" s="25">
        <f t="shared" si="4"/>
        <v>31.616797833391335</v>
      </c>
      <c r="X16" s="24"/>
      <c r="Y16" s="53"/>
      <c r="Z16" s="49"/>
      <c r="AA16" s="26"/>
      <c r="AB16" s="39"/>
      <c r="AC16" s="25">
        <f t="shared" si="13"/>
        <v>-0.86157878999128978</v>
      </c>
      <c r="AD16" s="25">
        <f t="shared" si="14"/>
        <v>-5.9637632054964396</v>
      </c>
      <c r="AE16" s="25">
        <f t="shared" si="15"/>
        <v>-7.3431794922977041</v>
      </c>
      <c r="AF16" s="9"/>
      <c r="AG16" s="112" t="s">
        <v>40</v>
      </c>
      <c r="AH16" s="70">
        <v>1.08686790122947</v>
      </c>
      <c r="AI16" s="74">
        <v>4.1395851952148801</v>
      </c>
      <c r="AJ16" s="71">
        <v>0.659338228771021</v>
      </c>
      <c r="AK16" s="71">
        <v>0.65281016560533001</v>
      </c>
      <c r="AL16" s="72">
        <v>0.55982392000000003</v>
      </c>
      <c r="AM16" s="72">
        <v>0.54186336999999996</v>
      </c>
      <c r="AN16" s="70">
        <v>1.8691136379972699</v>
      </c>
      <c r="AO16" s="70">
        <v>6.6935420997212702</v>
      </c>
      <c r="AP16" s="71">
        <v>0.72522535744493899</v>
      </c>
      <c r="AQ16" s="71">
        <v>0.69773326162895899</v>
      </c>
      <c r="AR16" s="72">
        <v>0.73674340999999999</v>
      </c>
      <c r="AS16" s="72">
        <v>0.66616531999999995</v>
      </c>
      <c r="AT16" s="70">
        <v>1.59550205460288</v>
      </c>
      <c r="AU16" s="70">
        <v>5.6449854293318502</v>
      </c>
      <c r="AV16" s="71">
        <v>0.61325181472681201</v>
      </c>
      <c r="AW16" s="71">
        <v>0.58064416340188996</v>
      </c>
      <c r="AX16" s="72">
        <v>0.53893210000000003</v>
      </c>
      <c r="AY16" s="72">
        <v>0.49941362</v>
      </c>
      <c r="AZ16" s="70">
        <v>0.76380873067055299</v>
      </c>
      <c r="BA16" s="70">
        <v>2.9525635072286498</v>
      </c>
      <c r="BB16" s="71">
        <v>0.60910960968379202</v>
      </c>
      <c r="BC16" s="71">
        <v>0.62801361305632397</v>
      </c>
      <c r="BD16" s="72">
        <v>0.50941809999999998</v>
      </c>
      <c r="BE16" s="72">
        <v>0.53497689000000004</v>
      </c>
      <c r="BG16" s="31">
        <v>1.0597194113669799</v>
      </c>
      <c r="BH16" s="31">
        <v>4.0377439479311299</v>
      </c>
      <c r="BI16" s="34">
        <v>0.58794124000000003</v>
      </c>
      <c r="BJ16" s="34">
        <v>0.57619319999999996</v>
      </c>
      <c r="BK16" s="37">
        <v>0.46738864000000002</v>
      </c>
      <c r="BL16" s="37">
        <v>0.45420249000000001</v>
      </c>
      <c r="BM16" s="31">
        <v>1.8515042133208499</v>
      </c>
      <c r="BN16" s="31">
        <v>6.6210025374732</v>
      </c>
      <c r="BO16" s="34">
        <v>0.67741815000000005</v>
      </c>
      <c r="BP16" s="34">
        <v>0.65200608999999998</v>
      </c>
      <c r="BQ16" s="37">
        <v>0.68613484999999996</v>
      </c>
      <c r="BR16" s="37">
        <v>0.62016897000000004</v>
      </c>
      <c r="BS16" s="31">
        <v>1.5744974175172699</v>
      </c>
      <c r="BT16" s="31">
        <v>5.5606171329645404</v>
      </c>
      <c r="BU16" s="34">
        <v>0.57320020999999999</v>
      </c>
      <c r="BV16" s="34">
        <v>0.54255001999999997</v>
      </c>
      <c r="BW16" s="37">
        <v>0.47910588999999998</v>
      </c>
      <c r="BX16" s="37">
        <v>0.45742458000000003</v>
      </c>
      <c r="BY16" s="31">
        <v>0.78526053562748199</v>
      </c>
      <c r="BZ16" s="31">
        <v>3.0424173433389901</v>
      </c>
      <c r="CA16" s="34">
        <v>0.61514168999999996</v>
      </c>
      <c r="CB16" s="34">
        <v>0.63358007999999999</v>
      </c>
      <c r="CC16" s="37">
        <v>0.53397296000000005</v>
      </c>
      <c r="CD16" s="95">
        <v>0.55208197999999997</v>
      </c>
      <c r="CE16" s="97" t="s">
        <v>51</v>
      </c>
    </row>
    <row r="17" spans="1:83" s="7" customFormat="1" ht="35.25" customHeight="1">
      <c r="A17" s="120"/>
      <c r="B17" s="120"/>
      <c r="C17" s="91" t="s">
        <v>52</v>
      </c>
      <c r="D17" s="84" t="s">
        <v>43</v>
      </c>
      <c r="E17" s="87" t="s">
        <v>45</v>
      </c>
      <c r="F17" s="129"/>
      <c r="G17" s="126"/>
      <c r="H17" s="120"/>
      <c r="I17" s="10">
        <f t="shared" si="0"/>
        <v>2.7707259498952865</v>
      </c>
      <c r="J17" s="11">
        <f t="shared" si="1"/>
        <v>0.44698294102480368</v>
      </c>
      <c r="K17" s="11">
        <f t="shared" si="5"/>
        <v>25.610236035066229</v>
      </c>
      <c r="L17" s="12">
        <f t="shared" si="2"/>
        <v>0.47595731750000003</v>
      </c>
      <c r="M17" s="12">
        <f t="shared" si="6"/>
        <v>27.27034552111812</v>
      </c>
      <c r="O17" s="30" t="e">
        <f t="shared" si="7"/>
        <v>#DIV/0!</v>
      </c>
      <c r="P17" s="33" t="e">
        <f t="shared" si="8"/>
        <v>#DIV/0!</v>
      </c>
      <c r="Q17" s="33" t="e">
        <f t="shared" si="9"/>
        <v>#DIV/0!</v>
      </c>
      <c r="R17" s="36" t="e">
        <f t="shared" si="10"/>
        <v>#DIV/0!</v>
      </c>
      <c r="S17" s="36" t="e">
        <f t="shared" si="11"/>
        <v>#DIV/0!</v>
      </c>
      <c r="T17" s="16"/>
      <c r="U17" s="58">
        <f t="shared" si="12"/>
        <v>2.5856502214217447</v>
      </c>
      <c r="V17" s="55">
        <f t="shared" si="3"/>
        <v>8.58217623384337</v>
      </c>
      <c r="W17" s="25">
        <f t="shared" si="4"/>
        <v>9.2467925889028866</v>
      </c>
      <c r="X17" s="24"/>
      <c r="Y17" s="53">
        <f>(I17-I16)/I16*100</f>
        <v>-10.426591107137199</v>
      </c>
      <c r="Z17" s="51">
        <f>(K17-K16)/K16 *100</f>
        <v>-30.78249775843399</v>
      </c>
      <c r="AA17" s="27">
        <f>(M17-M16)/M16 *100</f>
        <v>-16.996314765844538</v>
      </c>
      <c r="AB17" s="41"/>
      <c r="AC17" s="25" t="e">
        <f t="shared" si="13"/>
        <v>#DIV/0!</v>
      </c>
      <c r="AD17" s="25" t="e">
        <f t="shared" si="14"/>
        <v>#DIV/0!</v>
      </c>
      <c r="AE17" s="25" t="e">
        <f t="shared" si="15"/>
        <v>#DIV/0!</v>
      </c>
      <c r="AF17" s="9"/>
      <c r="AG17" s="112" t="s">
        <v>40</v>
      </c>
      <c r="AH17" s="70">
        <v>0.94707295237796396</v>
      </c>
      <c r="AI17" s="74">
        <v>3.6275773801019202</v>
      </c>
      <c r="AJ17" s="71">
        <v>0.40821638291128498</v>
      </c>
      <c r="AK17" s="71">
        <v>0.41153840880818698</v>
      </c>
      <c r="AL17" s="72">
        <v>0.4129197</v>
      </c>
      <c r="AM17" s="72">
        <v>0.41711358999999998</v>
      </c>
      <c r="AN17" s="70">
        <v>1.71600372688317</v>
      </c>
      <c r="AO17" s="70">
        <v>6.1442530331667502</v>
      </c>
      <c r="AP17" s="71">
        <v>0.46750787698082003</v>
      </c>
      <c r="AQ17" s="71">
        <v>0.45217108323761401</v>
      </c>
      <c r="AR17" s="72">
        <v>0.47489308000000002</v>
      </c>
      <c r="AS17" s="72">
        <v>0.46677882999999998</v>
      </c>
      <c r="AT17" s="70">
        <v>1.44099707625627</v>
      </c>
      <c r="AU17" s="70">
        <v>5.0866833703435299</v>
      </c>
      <c r="AV17" s="71">
        <v>0.39610320306968</v>
      </c>
      <c r="AW17" s="71">
        <v>0.40004323876867498</v>
      </c>
      <c r="AX17" s="72">
        <v>0.40176097</v>
      </c>
      <c r="AY17" s="72">
        <v>0.41662853</v>
      </c>
      <c r="AZ17" s="70">
        <v>0.672248714009267</v>
      </c>
      <c r="BA17" s="70">
        <v>2.5309713460234202</v>
      </c>
      <c r="BB17" s="71">
        <v>0.51124413871574503</v>
      </c>
      <c r="BC17" s="71">
        <v>0.52903919570642299</v>
      </c>
      <c r="BD17" s="72">
        <v>0.60642892000000004</v>
      </c>
      <c r="BE17" s="72">
        <v>0.61113492000000003</v>
      </c>
      <c r="BG17" s="31"/>
      <c r="BH17" s="31"/>
      <c r="BI17" s="34"/>
      <c r="BJ17" s="34"/>
      <c r="BK17" s="37"/>
      <c r="BL17" s="37"/>
      <c r="BM17" s="31"/>
      <c r="BN17" s="31"/>
      <c r="BO17" s="34"/>
      <c r="BP17" s="34"/>
      <c r="BQ17" s="37"/>
      <c r="BR17" s="37"/>
      <c r="BS17" s="31"/>
      <c r="BT17" s="31"/>
      <c r="BU17" s="34"/>
      <c r="BV17" s="34"/>
      <c r="BW17" s="37"/>
      <c r="BX17" s="37"/>
      <c r="BY17" s="31"/>
      <c r="BZ17" s="31"/>
      <c r="CA17" s="34"/>
      <c r="CB17" s="34"/>
      <c r="CC17" s="37"/>
      <c r="CD17" s="95"/>
      <c r="CE17" s="97"/>
    </row>
    <row r="18" spans="1:83" s="7" customFormat="1" ht="35.25" customHeight="1">
      <c r="A18" s="120"/>
      <c r="B18" s="120"/>
      <c r="C18" s="82" t="s">
        <v>50</v>
      </c>
      <c r="D18" s="83" t="s">
        <v>38</v>
      </c>
      <c r="E18" s="87" t="s">
        <v>45</v>
      </c>
      <c r="F18" s="128" t="s">
        <v>47</v>
      </c>
      <c r="G18" s="126"/>
      <c r="H18" s="120"/>
      <c r="I18" s="10">
        <f t="shared" si="0"/>
        <v>3.5386004592995217</v>
      </c>
      <c r="J18" s="11">
        <f t="shared" si="1"/>
        <v>0.96402661318775018</v>
      </c>
      <c r="K18" s="11">
        <f t="shared" si="5"/>
        <v>55.234656273948836</v>
      </c>
      <c r="L18" s="12">
        <f t="shared" si="2"/>
        <v>0.92912832000000001</v>
      </c>
      <c r="M18" s="12">
        <f t="shared" si="6"/>
        <v>53.235131362080594</v>
      </c>
      <c r="O18" s="30">
        <f t="shared" si="7"/>
        <v>3.5523978515717483</v>
      </c>
      <c r="P18" s="33">
        <f t="shared" si="8"/>
        <v>0.94432342125000013</v>
      </c>
      <c r="Q18" s="33">
        <f t="shared" si="9"/>
        <v>54.105746532979566</v>
      </c>
      <c r="R18" s="36">
        <f t="shared" si="10"/>
        <v>0.92295232749999989</v>
      </c>
      <c r="S18" s="36">
        <f t="shared" si="11"/>
        <v>52.881273057526137</v>
      </c>
      <c r="T18" s="16"/>
      <c r="U18" s="58">
        <f t="shared" si="12"/>
        <v>31.016071439610336</v>
      </c>
      <c r="V18" s="55">
        <f t="shared" si="3"/>
        <v>134.18367458783811</v>
      </c>
      <c r="W18" s="25">
        <f t="shared" si="4"/>
        <v>113.26342747848557</v>
      </c>
      <c r="X18" s="24"/>
      <c r="Y18" s="53"/>
      <c r="Z18" s="49"/>
      <c r="AA18" s="26"/>
      <c r="AB18" s="39"/>
      <c r="AC18" s="25">
        <f t="shared" si="13"/>
        <v>0.38991099534751605</v>
      </c>
      <c r="AD18" s="25">
        <f t="shared" si="14"/>
        <v>-2.043843154142547</v>
      </c>
      <c r="AE18" s="25">
        <f t="shared" si="15"/>
        <v>-0.66470823965414394</v>
      </c>
      <c r="AF18" s="9"/>
      <c r="AG18" s="112" t="s">
        <v>40</v>
      </c>
      <c r="AH18" s="70">
        <v>1.27212490174086</v>
      </c>
      <c r="AI18" s="74">
        <v>4.8687477481805201</v>
      </c>
      <c r="AJ18" s="71">
        <v>1.05883702764927</v>
      </c>
      <c r="AK18" s="71">
        <v>1.0522323381943099</v>
      </c>
      <c r="AL18" s="72">
        <v>1.0346165199999999</v>
      </c>
      <c r="AM18" s="72">
        <v>1.00283536</v>
      </c>
      <c r="AN18" s="70">
        <v>2.0449762406512799</v>
      </c>
      <c r="AO18" s="70">
        <v>7.4309543244657199</v>
      </c>
      <c r="AP18" s="71">
        <v>0.93988427924140905</v>
      </c>
      <c r="AQ18" s="71">
        <v>0.93144465779327901</v>
      </c>
      <c r="AR18" s="72">
        <v>0.94124235000000001</v>
      </c>
      <c r="AS18" s="72">
        <v>0.88991376</v>
      </c>
      <c r="AT18" s="70">
        <v>1.7614434046328</v>
      </c>
      <c r="AU18" s="70">
        <v>6.3458678155568604</v>
      </c>
      <c r="AV18" s="71">
        <v>0.85989696393700299</v>
      </c>
      <c r="AW18" s="71">
        <v>0.84790666990303598</v>
      </c>
      <c r="AX18" s="72">
        <v>0.82553734000000001</v>
      </c>
      <c r="AY18" s="72">
        <v>0.79196915000000001</v>
      </c>
      <c r="AZ18" s="70">
        <v>0.93997126919073304</v>
      </c>
      <c r="BA18" s="70">
        <v>3.6447179699774002</v>
      </c>
      <c r="BB18" s="71">
        <v>0.98976424067459501</v>
      </c>
      <c r="BC18" s="71">
        <v>1.0322467281090999</v>
      </c>
      <c r="BD18" s="72">
        <v>0.93745135000000002</v>
      </c>
      <c r="BE18" s="72">
        <v>1.00946073</v>
      </c>
      <c r="BG18" s="31">
        <v>1.2678535860564599</v>
      </c>
      <c r="BH18" s="31">
        <v>4.8468265109987199</v>
      </c>
      <c r="BI18" s="34">
        <v>1.0085797599999999</v>
      </c>
      <c r="BJ18" s="34">
        <v>0.99681829</v>
      </c>
      <c r="BK18" s="37">
        <v>0.96006285000000002</v>
      </c>
      <c r="BL18" s="37">
        <v>0.89154904000000001</v>
      </c>
      <c r="BM18" s="31">
        <v>2.0494635673614301</v>
      </c>
      <c r="BN18" s="31">
        <v>7.4360393684470996</v>
      </c>
      <c r="BO18" s="34">
        <v>0.93415344</v>
      </c>
      <c r="BP18" s="34">
        <v>0.91185172000000003</v>
      </c>
      <c r="BQ18" s="37">
        <v>0.95094202999999999</v>
      </c>
      <c r="BR18" s="37">
        <v>0.89708653000000005</v>
      </c>
      <c r="BS18" s="31">
        <v>1.75845121552142</v>
      </c>
      <c r="BT18" s="31">
        <v>6.3325437183373596</v>
      </c>
      <c r="BU18" s="34">
        <v>0.83780600999999999</v>
      </c>
      <c r="BV18" s="34">
        <v>0.82300644999999994</v>
      </c>
      <c r="BW18" s="37">
        <v>0.80957488</v>
      </c>
      <c r="BX18" s="37">
        <v>0.77386279000000002</v>
      </c>
      <c r="BY18" s="31">
        <v>0.96714492912695704</v>
      </c>
      <c r="BZ18" s="31">
        <v>3.7608599167245398</v>
      </c>
      <c r="CA18" s="34">
        <v>0.99572081000000001</v>
      </c>
      <c r="CB18" s="34">
        <v>1.04665089</v>
      </c>
      <c r="CC18" s="37">
        <v>1.02390553</v>
      </c>
      <c r="CD18" s="95">
        <v>1.07663497</v>
      </c>
      <c r="CE18" s="97" t="s">
        <v>51</v>
      </c>
    </row>
    <row r="19" spans="1:83" s="7" customFormat="1" ht="35.25" customHeight="1">
      <c r="A19" s="120"/>
      <c r="B19" s="120"/>
      <c r="C19" s="91" t="s">
        <v>52</v>
      </c>
      <c r="D19" s="84" t="s">
        <v>43</v>
      </c>
      <c r="E19" s="87" t="s">
        <v>45</v>
      </c>
      <c r="F19" s="129"/>
      <c r="G19" s="126"/>
      <c r="H19" s="120"/>
      <c r="I19" s="10">
        <f t="shared" si="0"/>
        <v>3.1098603306963541</v>
      </c>
      <c r="J19" s="11">
        <f t="shared" si="1"/>
        <v>0.65130785103179678</v>
      </c>
      <c r="K19" s="11">
        <f t="shared" si="5"/>
        <v>37.317191027857298</v>
      </c>
      <c r="L19" s="12">
        <f t="shared" si="2"/>
        <v>0.59077848874999994</v>
      </c>
      <c r="M19" s="12">
        <f t="shared" si="6"/>
        <v>33.849114032491983</v>
      </c>
      <c r="O19" s="30" t="e">
        <f t="shared" si="7"/>
        <v>#DIV/0!</v>
      </c>
      <c r="P19" s="33" t="e">
        <f t="shared" si="8"/>
        <v>#DIV/0!</v>
      </c>
      <c r="Q19" s="33" t="e">
        <f t="shared" si="9"/>
        <v>#DIV/0!</v>
      </c>
      <c r="R19" s="36" t="e">
        <f t="shared" si="10"/>
        <v>#DIV/0!</v>
      </c>
      <c r="S19" s="36" t="e">
        <f t="shared" si="11"/>
        <v>#DIV/0!</v>
      </c>
      <c r="T19" s="16"/>
      <c r="U19" s="58">
        <f t="shared" si="12"/>
        <v>15.14204215481797</v>
      </c>
      <c r="V19" s="55">
        <f t="shared" si="3"/>
        <v>58.217277153975324</v>
      </c>
      <c r="W19" s="25">
        <f t="shared" si="4"/>
        <v>35.601770691248461</v>
      </c>
      <c r="X19" s="24"/>
      <c r="Y19" s="53">
        <f>(I19-I18)/I18*100</f>
        <v>-12.116093171141399</v>
      </c>
      <c r="Z19" s="51">
        <f>(K19-K18)/K18 *100</f>
        <v>-32.438810078270052</v>
      </c>
      <c r="AA19" s="27">
        <f>(M19-M18)/M18 *100</f>
        <v>-36.415834494206358</v>
      </c>
      <c r="AB19" s="40"/>
      <c r="AC19" s="25" t="e">
        <f t="shared" si="13"/>
        <v>#DIV/0!</v>
      </c>
      <c r="AD19" s="25" t="e">
        <f t="shared" si="14"/>
        <v>#DIV/0!</v>
      </c>
      <c r="AE19" s="25" t="e">
        <f t="shared" si="15"/>
        <v>#DIV/0!</v>
      </c>
      <c r="AF19" s="6"/>
      <c r="AG19" s="112" t="s">
        <v>40</v>
      </c>
      <c r="AH19" s="76">
        <v>1.0742837632807301</v>
      </c>
      <c r="AI19" s="75">
        <v>4.1361975851309802</v>
      </c>
      <c r="AJ19" s="77">
        <v>0.60945505024055002</v>
      </c>
      <c r="AK19" s="77">
        <v>0.627690082456973</v>
      </c>
      <c r="AL19" s="78">
        <v>0.47552412999999999</v>
      </c>
      <c r="AM19" s="78">
        <v>0.48737620999999998</v>
      </c>
      <c r="AN19" s="76">
        <v>1.84004979893158</v>
      </c>
      <c r="AO19" s="76">
        <v>6.60916148510774</v>
      </c>
      <c r="AP19" s="77">
        <v>0.61480570673579205</v>
      </c>
      <c r="AQ19" s="77">
        <v>0.588925375350979</v>
      </c>
      <c r="AR19" s="78">
        <v>0.59349699</v>
      </c>
      <c r="AS19" s="78">
        <v>0.55944941999999998</v>
      </c>
      <c r="AT19" s="76">
        <v>1.5862504808064</v>
      </c>
      <c r="AU19" s="76">
        <v>5.6644081903277597</v>
      </c>
      <c r="AV19" s="77">
        <v>0.59130165509892696</v>
      </c>
      <c r="AW19" s="77">
        <v>0.59224645286477695</v>
      </c>
      <c r="AX19" s="78">
        <v>0.53553713000000003</v>
      </c>
      <c r="AY19" s="78">
        <v>0.53862781999999998</v>
      </c>
      <c r="AZ19" s="76">
        <v>0.82130010037477996</v>
      </c>
      <c r="BA19" s="76">
        <v>3.1472312416108599</v>
      </c>
      <c r="BB19" s="77">
        <v>0.771435126138869</v>
      </c>
      <c r="BC19" s="77">
        <v>0.81460335936750705</v>
      </c>
      <c r="BD19" s="78">
        <v>0.73154525999999997</v>
      </c>
      <c r="BE19" s="78">
        <v>0.80467095</v>
      </c>
      <c r="BG19" s="32"/>
      <c r="BH19" s="32"/>
      <c r="BI19" s="35"/>
      <c r="BJ19" s="35"/>
      <c r="BK19" s="38"/>
      <c r="BL19" s="38"/>
      <c r="BM19" s="32"/>
      <c r="BN19" s="32"/>
      <c r="BO19" s="35"/>
      <c r="BP19" s="35"/>
      <c r="BQ19" s="38"/>
      <c r="BR19" s="38"/>
      <c r="BS19" s="32"/>
      <c r="BT19" s="32"/>
      <c r="BU19" s="35"/>
      <c r="BV19" s="35"/>
      <c r="BW19" s="38"/>
      <c r="BX19" s="38"/>
      <c r="BY19" s="32"/>
      <c r="BZ19" s="32"/>
      <c r="CA19" s="35"/>
      <c r="CB19" s="35"/>
      <c r="CC19" s="38"/>
      <c r="CD19" s="96"/>
      <c r="CE19" s="97"/>
    </row>
    <row r="20" spans="1:83" s="7" customFormat="1" ht="35.25" customHeight="1">
      <c r="A20" s="120"/>
      <c r="B20" s="120"/>
      <c r="C20" s="82" t="s">
        <v>50</v>
      </c>
      <c r="D20" s="83" t="s">
        <v>38</v>
      </c>
      <c r="E20" s="87" t="s">
        <v>45</v>
      </c>
      <c r="F20" s="128" t="s">
        <v>48</v>
      </c>
      <c r="G20" s="126"/>
      <c r="H20" s="120"/>
      <c r="I20" s="10">
        <f t="shared" si="0"/>
        <v>3.7513055414522856</v>
      </c>
      <c r="J20" s="11">
        <f t="shared" si="1"/>
        <v>1.2145663562093663</v>
      </c>
      <c r="K20" s="11">
        <f t="shared" si="5"/>
        <v>69.589526149379651</v>
      </c>
      <c r="L20" s="12">
        <f t="shared" si="2"/>
        <v>1.22877778875</v>
      </c>
      <c r="M20" s="12">
        <f t="shared" si="6"/>
        <v>70.403781254792847</v>
      </c>
      <c r="O20" s="30">
        <f t="shared" si="7"/>
        <v>3.6919361985651955</v>
      </c>
      <c r="P20" s="33">
        <f t="shared" si="8"/>
        <v>1.1430839637499999</v>
      </c>
      <c r="Q20" s="33">
        <f t="shared" si="9"/>
        <v>65.493886751960176</v>
      </c>
      <c r="R20" s="36">
        <f t="shared" si="10"/>
        <v>1.0266927149999998</v>
      </c>
      <c r="S20" s="36">
        <f t="shared" si="11"/>
        <v>58.825159426327858</v>
      </c>
      <c r="T20" s="16"/>
      <c r="U20" s="58">
        <f t="shared" si="12"/>
        <v>38.891440405229929</v>
      </c>
      <c r="V20" s="55">
        <f t="shared" si="3"/>
        <v>195.04539442883163</v>
      </c>
      <c r="W20" s="25">
        <f t="shared" si="4"/>
        <v>182.04216489522082</v>
      </c>
      <c r="X20" s="24"/>
      <c r="Y20" s="53"/>
      <c r="Z20" s="49"/>
      <c r="AA20" s="26"/>
      <c r="AB20" s="39"/>
      <c r="AC20" s="25">
        <f t="shared" si="13"/>
        <v>-1.5826314927177521</v>
      </c>
      <c r="AD20" s="25">
        <f t="shared" si="14"/>
        <v>-5.885425040296794</v>
      </c>
      <c r="AE20" s="25">
        <f t="shared" si="15"/>
        <v>-16.446022673926702</v>
      </c>
      <c r="AF20" s="9"/>
      <c r="AG20" s="112" t="s">
        <v>40</v>
      </c>
      <c r="AH20" s="70">
        <v>1.35377849622021</v>
      </c>
      <c r="AI20" s="74">
        <v>5.1963770124594504</v>
      </c>
      <c r="AJ20" s="71">
        <v>1.3154683692415099</v>
      </c>
      <c r="AK20" s="71">
        <v>1.2968703875293699</v>
      </c>
      <c r="AL20" s="72">
        <v>1.38761544</v>
      </c>
      <c r="AM20" s="72">
        <v>1.3562342000000001</v>
      </c>
      <c r="AN20" s="70">
        <v>2.1584487506788799</v>
      </c>
      <c r="AO20" s="70">
        <v>7.8976829599593001</v>
      </c>
      <c r="AP20" s="71">
        <v>1.23024190280032</v>
      </c>
      <c r="AQ20" s="71">
        <v>1.2241993229053401</v>
      </c>
      <c r="AR20" s="72">
        <v>1.28131613</v>
      </c>
      <c r="AS20" s="72">
        <v>1.2443610300000001</v>
      </c>
      <c r="AT20" s="70">
        <v>1.85565200813229</v>
      </c>
      <c r="AU20" s="70">
        <v>6.7156322676037004</v>
      </c>
      <c r="AV20" s="71">
        <v>1.0901331811691899</v>
      </c>
      <c r="AW20" s="71">
        <v>1.0901366801944501</v>
      </c>
      <c r="AX20" s="72">
        <v>1.0536818800000001</v>
      </c>
      <c r="AY20" s="72">
        <v>1.02851867</v>
      </c>
      <c r="AZ20" s="70">
        <v>1.00519399141294</v>
      </c>
      <c r="BA20" s="70">
        <v>3.8276788451515098</v>
      </c>
      <c r="BB20" s="71">
        <v>1.2182195144485299</v>
      </c>
      <c r="BC20" s="71">
        <v>1.2512614913862199</v>
      </c>
      <c r="BD20" s="72">
        <v>1.25184345</v>
      </c>
      <c r="BE20" s="72">
        <v>1.2266515099999999</v>
      </c>
      <c r="BG20" s="31">
        <v>1.33889141999803</v>
      </c>
      <c r="BH20" s="31">
        <v>5.13570924184594</v>
      </c>
      <c r="BI20" s="34">
        <v>1.2346560600000001</v>
      </c>
      <c r="BJ20" s="34">
        <v>1.21177614</v>
      </c>
      <c r="BK20" s="37">
        <v>1.13507151</v>
      </c>
      <c r="BL20" s="37">
        <v>1.07164075</v>
      </c>
      <c r="BM20" s="31">
        <v>2.14002683969355</v>
      </c>
      <c r="BN20" s="31">
        <v>7.8230667869460104</v>
      </c>
      <c r="BO20" s="34">
        <v>1.13715185</v>
      </c>
      <c r="BP20" s="34">
        <v>1.14589297</v>
      </c>
      <c r="BQ20" s="37">
        <v>1.0761224300000001</v>
      </c>
      <c r="BR20" s="37">
        <v>1.05319776</v>
      </c>
      <c r="BS20" s="31">
        <v>1.8483391336308901</v>
      </c>
      <c r="BT20" s="31">
        <v>6.7189751595227101</v>
      </c>
      <c r="BU20" s="34">
        <v>1.0456706899999999</v>
      </c>
      <c r="BV20" s="34">
        <v>1.0587166299999999</v>
      </c>
      <c r="BW20" s="37">
        <v>0.84146768000000005</v>
      </c>
      <c r="BX20" s="37">
        <v>0.83609116000000006</v>
      </c>
      <c r="BY20" s="31">
        <v>0.94197260822612405</v>
      </c>
      <c r="BZ20" s="31">
        <v>3.58850839865831</v>
      </c>
      <c r="CA20" s="34">
        <v>1.1318310600000001</v>
      </c>
      <c r="CB20" s="34">
        <v>1.1789763099999999</v>
      </c>
      <c r="CC20" s="37">
        <v>1.0839093500000001</v>
      </c>
      <c r="CD20" s="95">
        <v>1.11604108</v>
      </c>
      <c r="CE20" s="97" t="s">
        <v>51</v>
      </c>
    </row>
    <row r="21" spans="1:83" s="7" customFormat="1" ht="35.25" customHeight="1">
      <c r="A21" s="121"/>
      <c r="B21" s="121"/>
      <c r="C21" s="91" t="s">
        <v>52</v>
      </c>
      <c r="D21" s="84" t="s">
        <v>43</v>
      </c>
      <c r="E21" s="87" t="s">
        <v>45</v>
      </c>
      <c r="F21" s="129"/>
      <c r="G21" s="127"/>
      <c r="H21" s="121"/>
      <c r="I21" s="10">
        <f t="shared" si="0"/>
        <v>3.4857047920439816</v>
      </c>
      <c r="J21" s="11">
        <f t="shared" si="1"/>
        <v>0.96118666029066957</v>
      </c>
      <c r="K21" s="11">
        <f t="shared" si="5"/>
        <v>55.071938958930161</v>
      </c>
      <c r="L21" s="12">
        <f t="shared" si="2"/>
        <v>0.87032620125000004</v>
      </c>
      <c r="M21" s="12">
        <f t="shared" si="6"/>
        <v>49.866018131278516</v>
      </c>
      <c r="O21" s="30" t="e">
        <f t="shared" si="7"/>
        <v>#DIV/0!</v>
      </c>
      <c r="P21" s="33" t="e">
        <f t="shared" si="8"/>
        <v>#DIV/0!</v>
      </c>
      <c r="Q21" s="33" t="e">
        <f t="shared" si="9"/>
        <v>#DIV/0!</v>
      </c>
      <c r="R21" s="36" t="e">
        <f t="shared" si="10"/>
        <v>#DIV/0!</v>
      </c>
      <c r="S21" s="36" t="e">
        <f t="shared" si="11"/>
        <v>#DIV/0!</v>
      </c>
      <c r="T21" s="16"/>
      <c r="U21" s="58">
        <f t="shared" si="12"/>
        <v>29.057618486329041</v>
      </c>
      <c r="V21" s="55">
        <f t="shared" si="3"/>
        <v>133.49378636691486</v>
      </c>
      <c r="W21" s="25">
        <f t="shared" si="4"/>
        <v>99.766538924252387</v>
      </c>
      <c r="X21" s="24"/>
      <c r="Y21" s="53">
        <f>(I21-I20)/I20*100</f>
        <v>-7.0802217114385959</v>
      </c>
      <c r="Z21" s="51">
        <f>(K21-K20)/K20 *100</f>
        <v>-20.861741692688483</v>
      </c>
      <c r="AA21" s="27">
        <f>(M21-M20)/M20 *100</f>
        <v>-29.171392157457721</v>
      </c>
      <c r="AB21" s="41"/>
      <c r="AC21" s="25" t="e">
        <f t="shared" si="13"/>
        <v>#DIV/0!</v>
      </c>
      <c r="AD21" s="25" t="e">
        <f t="shared" si="14"/>
        <v>#DIV/0!</v>
      </c>
      <c r="AE21" s="25" t="e">
        <f t="shared" si="15"/>
        <v>#DIV/0!</v>
      </c>
      <c r="AF21" s="9"/>
      <c r="AG21" s="112" t="s">
        <v>40</v>
      </c>
      <c r="AH21" s="70">
        <v>1.20906782896008</v>
      </c>
      <c r="AI21" s="74">
        <v>4.6790785296730704</v>
      </c>
      <c r="AJ21" s="71">
        <v>0.89014748941376898</v>
      </c>
      <c r="AK21" s="71">
        <v>0.92384008353906999</v>
      </c>
      <c r="AL21" s="72">
        <v>0.65490616000000001</v>
      </c>
      <c r="AM21" s="72">
        <v>0.65928814000000002</v>
      </c>
      <c r="AN21" s="70">
        <v>2.0306086117200399</v>
      </c>
      <c r="AO21" s="70">
        <v>7.3208558518598403</v>
      </c>
      <c r="AP21" s="71">
        <v>0.92803415383056398</v>
      </c>
      <c r="AQ21" s="71">
        <v>0.87654362684585496</v>
      </c>
      <c r="AR21" s="72">
        <v>0.83096607</v>
      </c>
      <c r="AS21" s="72">
        <v>0.77301829</v>
      </c>
      <c r="AT21" s="70">
        <v>1.7550659700583999</v>
      </c>
      <c r="AU21" s="70">
        <v>6.3000433487176597</v>
      </c>
      <c r="AV21" s="71">
        <v>0.85799527743978099</v>
      </c>
      <c r="AW21" s="71">
        <v>0.85007733562593701</v>
      </c>
      <c r="AX21" s="72">
        <v>0.75232262000000005</v>
      </c>
      <c r="AY21" s="72">
        <v>0.73030192000000005</v>
      </c>
      <c r="AZ21" s="70">
        <v>0.95584344193857995</v>
      </c>
      <c r="BA21" s="70">
        <v>3.6350747534241798</v>
      </c>
      <c r="BB21" s="71">
        <v>1.15209048102513</v>
      </c>
      <c r="BC21" s="71">
        <v>1.21076483460525</v>
      </c>
      <c r="BD21" s="72">
        <v>1.23479001</v>
      </c>
      <c r="BE21" s="72">
        <v>1.3270164</v>
      </c>
      <c r="BG21" s="31"/>
      <c r="BH21" s="31"/>
      <c r="BI21" s="34"/>
      <c r="BJ21" s="34"/>
      <c r="BK21" s="37"/>
      <c r="BL21" s="37"/>
      <c r="BM21" s="31"/>
      <c r="BN21" s="31"/>
      <c r="BO21" s="34"/>
      <c r="BP21" s="34"/>
      <c r="BQ21" s="37"/>
      <c r="BR21" s="37"/>
      <c r="BS21" s="31"/>
      <c r="BT21" s="31"/>
      <c r="BU21" s="34"/>
      <c r="BV21" s="34"/>
      <c r="BW21" s="37"/>
      <c r="BX21" s="37"/>
      <c r="BY21" s="31"/>
      <c r="BZ21" s="31"/>
      <c r="CA21" s="34"/>
      <c r="CB21" s="34"/>
      <c r="CC21" s="37"/>
      <c r="CD21" s="95"/>
      <c r="CE21" s="97"/>
    </row>
    <row r="22" spans="1:83" s="7" customFormat="1" ht="35.25" customHeight="1">
      <c r="A22" s="122" t="s">
        <v>53</v>
      </c>
      <c r="B22" s="122" t="s">
        <v>36</v>
      </c>
      <c r="C22" s="81" t="s">
        <v>54</v>
      </c>
      <c r="D22" s="83" t="s">
        <v>38</v>
      </c>
      <c r="E22" s="86" t="s">
        <v>38</v>
      </c>
      <c r="F22" s="123" t="s">
        <v>39</v>
      </c>
      <c r="G22" s="125">
        <v>8</v>
      </c>
      <c r="H22" s="122">
        <v>8</v>
      </c>
      <c r="I22" s="10">
        <f t="shared" si="0"/>
        <v>3.2064271207566772</v>
      </c>
      <c r="J22" s="11">
        <f t="shared" si="1"/>
        <v>0.72422643905056627</v>
      </c>
      <c r="K22" s="11">
        <f t="shared" si="5"/>
        <v>41.495118369385999</v>
      </c>
      <c r="L22" s="12">
        <f t="shared" si="2"/>
        <v>0.63182936750000007</v>
      </c>
      <c r="M22" s="12">
        <f t="shared" si="6"/>
        <v>36.201156130170268</v>
      </c>
      <c r="O22" s="30">
        <f t="shared" si="7"/>
        <v>3.2552639056969621</v>
      </c>
      <c r="P22" s="33">
        <f t="shared" si="8"/>
        <v>0.78125478000000004</v>
      </c>
      <c r="Q22" s="33">
        <f t="shared" si="9"/>
        <v>44.762601618421641</v>
      </c>
      <c r="R22" s="36">
        <f t="shared" si="10"/>
        <v>0.64588712749999999</v>
      </c>
      <c r="S22" s="36">
        <f t="shared" si="11"/>
        <v>37.006606447578086</v>
      </c>
      <c r="T22" s="16"/>
      <c r="U22" s="58">
        <f t="shared" si="12"/>
        <v>18.717410894735448</v>
      </c>
      <c r="V22" s="55">
        <f t="shared" si="3"/>
        <v>75.930836774000483</v>
      </c>
      <c r="W22" s="25">
        <f t="shared" si="4"/>
        <v>45.024205585094734</v>
      </c>
      <c r="X22" s="24"/>
      <c r="Y22" s="53"/>
      <c r="Z22" s="49"/>
      <c r="AA22" s="26"/>
      <c r="AB22" s="39"/>
      <c r="AC22" s="25">
        <f t="shared" si="13"/>
        <v>1.5230904399523664</v>
      </c>
      <c r="AD22" s="25">
        <f t="shared" si="14"/>
        <v>7.8743798727088459</v>
      </c>
      <c r="AE22" s="25">
        <f t="shared" si="15"/>
        <v>2.2249298185715967</v>
      </c>
      <c r="AF22" s="9"/>
      <c r="AG22" s="112" t="s">
        <v>40</v>
      </c>
      <c r="AH22" s="70">
        <v>1.1301897989530101</v>
      </c>
      <c r="AI22" s="74">
        <v>4.3136148472032501</v>
      </c>
      <c r="AJ22" s="71">
        <v>0.70587588609215002</v>
      </c>
      <c r="AK22" s="71">
        <v>0.70271178164428005</v>
      </c>
      <c r="AL22" s="72">
        <v>0.62639334999999996</v>
      </c>
      <c r="AM22" s="72">
        <v>0.61830622000000002</v>
      </c>
      <c r="AN22" s="70">
        <v>1.963919271348</v>
      </c>
      <c r="AO22" s="70">
        <v>7.09328168278864</v>
      </c>
      <c r="AP22" s="71">
        <v>0.83822544349186001</v>
      </c>
      <c r="AQ22" s="71">
        <v>0.81958570013359999</v>
      </c>
      <c r="AR22" s="72">
        <v>0.81518533000000004</v>
      </c>
      <c r="AS22" s="72">
        <v>0.74804864000000004</v>
      </c>
      <c r="AT22" s="70">
        <v>1.6913204960711301</v>
      </c>
      <c r="AU22" s="70">
        <v>6.05744343021221</v>
      </c>
      <c r="AV22" s="71">
        <v>0.74044915704655001</v>
      </c>
      <c r="AW22" s="71">
        <v>0.71736934318384005</v>
      </c>
      <c r="AX22" s="72">
        <v>0.61645214000000004</v>
      </c>
      <c r="AY22" s="72">
        <v>0.5758527</v>
      </c>
      <c r="AZ22" s="70">
        <v>0.70322569673430002</v>
      </c>
      <c r="BA22" s="70">
        <v>2.6984217427428798</v>
      </c>
      <c r="BB22" s="71">
        <v>0.62049819223075997</v>
      </c>
      <c r="BC22" s="71">
        <v>0.64909600858148997</v>
      </c>
      <c r="BD22" s="72">
        <v>0.50886916000000004</v>
      </c>
      <c r="BE22" s="72">
        <v>0.5455274</v>
      </c>
      <c r="BG22" s="31">
        <v>1.1504879678028901</v>
      </c>
      <c r="BH22" s="31">
        <v>4.3871337296295998</v>
      </c>
      <c r="BI22" s="34">
        <v>0.76906485000000002</v>
      </c>
      <c r="BJ22" s="34">
        <v>0.75727836000000004</v>
      </c>
      <c r="BK22" s="37">
        <v>0.66078711000000001</v>
      </c>
      <c r="BL22" s="37">
        <v>0.64266604000000005</v>
      </c>
      <c r="BM22" s="31">
        <v>1.9883981450392001</v>
      </c>
      <c r="BN22" s="31">
        <v>7.1974400580504296</v>
      </c>
      <c r="BO22" s="34">
        <v>0.90246616999999996</v>
      </c>
      <c r="BP22" s="34">
        <v>0.88452505000000003</v>
      </c>
      <c r="BQ22" s="37">
        <v>0.80049873999999999</v>
      </c>
      <c r="BR22" s="37">
        <v>0.74441031000000002</v>
      </c>
      <c r="BS22" s="31">
        <v>1.71494723467179</v>
      </c>
      <c r="BT22" s="31">
        <v>6.1470656372011501</v>
      </c>
      <c r="BU22" s="34">
        <v>0.79054462000000003</v>
      </c>
      <c r="BV22" s="34">
        <v>0.76315756999999995</v>
      </c>
      <c r="BW22" s="37">
        <v>0.57804109999999997</v>
      </c>
      <c r="BX22" s="37">
        <v>0.54652314999999996</v>
      </c>
      <c r="BY22" s="31">
        <v>0.71705462547093102</v>
      </c>
      <c r="BZ22" s="31">
        <v>2.7395838477097101</v>
      </c>
      <c r="CA22" s="34">
        <v>0.67573691999999996</v>
      </c>
      <c r="CB22" s="34">
        <v>0.70726469999999997</v>
      </c>
      <c r="CC22" s="37">
        <v>0.57557773000000001</v>
      </c>
      <c r="CD22" s="95">
        <v>0.61859284000000003</v>
      </c>
      <c r="CE22" s="99" t="s">
        <v>55</v>
      </c>
    </row>
    <row r="23" spans="1:83" s="7" customFormat="1" ht="35.25" customHeight="1">
      <c r="A23" s="120"/>
      <c r="B23" s="120"/>
      <c r="C23" s="91" t="s">
        <v>56</v>
      </c>
      <c r="D23" s="85" t="s">
        <v>43</v>
      </c>
      <c r="E23" s="86" t="s">
        <v>38</v>
      </c>
      <c r="F23" s="124"/>
      <c r="G23" s="126"/>
      <c r="H23" s="120"/>
      <c r="I23" s="10">
        <f t="shared" si="0"/>
        <v>3.032726420389666</v>
      </c>
      <c r="J23" s="11">
        <f t="shared" si="1"/>
        <v>0.54889869678370307</v>
      </c>
      <c r="K23" s="11">
        <f t="shared" si="5"/>
        <v>31.449578705937281</v>
      </c>
      <c r="L23" s="12">
        <f t="shared" si="2"/>
        <v>0.58760464500000009</v>
      </c>
      <c r="M23" s="12">
        <f t="shared" si="6"/>
        <v>33.667266180783017</v>
      </c>
      <c r="O23" s="30" t="e">
        <f t="shared" si="7"/>
        <v>#DIV/0!</v>
      </c>
      <c r="P23" s="33" t="e">
        <f t="shared" si="8"/>
        <v>#DIV/0!</v>
      </c>
      <c r="Q23" s="33" t="e">
        <f t="shared" si="9"/>
        <v>#DIV/0!</v>
      </c>
      <c r="R23" s="36" t="e">
        <f t="shared" si="10"/>
        <v>#DIV/0!</v>
      </c>
      <c r="S23" s="36" t="e">
        <f t="shared" si="11"/>
        <v>#DIV/0!</v>
      </c>
      <c r="T23" s="16"/>
      <c r="U23" s="58">
        <f t="shared" si="12"/>
        <v>12.286172434742811</v>
      </c>
      <c r="V23" s="55">
        <f t="shared" si="3"/>
        <v>33.339797917226754</v>
      </c>
      <c r="W23" s="25">
        <f t="shared" si="4"/>
        <v>34.873276271439863</v>
      </c>
      <c r="X23" s="24"/>
      <c r="Y23" s="53">
        <f>(I23-I22)/I22*100</f>
        <v>-5.4172664409730915</v>
      </c>
      <c r="Z23" s="51">
        <f>(K23-K22)/K22 *100</f>
        <v>-24.208967363399669</v>
      </c>
      <c r="AA23" s="27">
        <f>(M23-M22)/M22 *100</f>
        <v>-6.9994724485483832</v>
      </c>
      <c r="AB23" s="41"/>
      <c r="AC23" s="25" t="e">
        <f t="shared" si="13"/>
        <v>#DIV/0!</v>
      </c>
      <c r="AD23" s="25" t="e">
        <f t="shared" si="14"/>
        <v>#DIV/0!</v>
      </c>
      <c r="AE23" s="25" t="e">
        <f t="shared" si="15"/>
        <v>#DIV/0!</v>
      </c>
      <c r="AG23" s="112" t="s">
        <v>40</v>
      </c>
      <c r="AH23" s="70">
        <v>1.05331149625229</v>
      </c>
      <c r="AI23" s="74">
        <v>4.0387393356100398</v>
      </c>
      <c r="AJ23" s="71">
        <v>0.51682256786473002</v>
      </c>
      <c r="AK23" s="71">
        <v>0.51305639072985598</v>
      </c>
      <c r="AL23" s="72">
        <v>0.53157798999999994</v>
      </c>
      <c r="AM23" s="72">
        <v>0.51652339999999997</v>
      </c>
      <c r="AN23" s="70">
        <v>1.8617310386405499</v>
      </c>
      <c r="AO23" s="70">
        <v>6.6801574985680903</v>
      </c>
      <c r="AP23" s="71">
        <v>0.68943912935848595</v>
      </c>
      <c r="AQ23" s="71">
        <v>0.66257964862457797</v>
      </c>
      <c r="AR23" s="72">
        <v>0.85214559000000001</v>
      </c>
      <c r="AS23" s="72">
        <v>0.79184277000000003</v>
      </c>
      <c r="AT23" s="70">
        <v>1.5932128853237</v>
      </c>
      <c r="AU23" s="70">
        <v>5.6508039003012902</v>
      </c>
      <c r="AV23" s="71">
        <v>0.59916333492948504</v>
      </c>
      <c r="AW23" s="71">
        <v>0.56379037579314495</v>
      </c>
      <c r="AX23" s="72">
        <v>0.64409638000000002</v>
      </c>
      <c r="AY23" s="72">
        <v>0.59892535999999996</v>
      </c>
      <c r="AZ23" s="70">
        <v>0.69854741305211698</v>
      </c>
      <c r="BA23" s="70">
        <v>2.6853077953692499</v>
      </c>
      <c r="BB23" s="71">
        <v>0.429150269221938</v>
      </c>
      <c r="BC23" s="71">
        <v>0.41718785774740702</v>
      </c>
      <c r="BD23" s="72">
        <v>0.38006255999999999</v>
      </c>
      <c r="BE23" s="72">
        <v>0.38566310999999998</v>
      </c>
      <c r="BG23" s="31"/>
      <c r="BH23" s="31"/>
      <c r="BI23" s="34"/>
      <c r="BJ23" s="34"/>
      <c r="BK23" s="37"/>
      <c r="BL23" s="37"/>
      <c r="BM23" s="31"/>
      <c r="BN23" s="31"/>
      <c r="BO23" s="34"/>
      <c r="BP23" s="34"/>
      <c r="BQ23" s="37"/>
      <c r="BR23" s="37"/>
      <c r="BS23" s="31"/>
      <c r="BT23" s="31"/>
      <c r="BU23" s="34"/>
      <c r="BV23" s="34"/>
      <c r="BW23" s="37"/>
      <c r="BX23" s="37"/>
      <c r="BY23" s="31"/>
      <c r="BZ23" s="31"/>
      <c r="CA23" s="34"/>
      <c r="CB23" s="34"/>
      <c r="CC23" s="37"/>
      <c r="CD23" s="95"/>
      <c r="CE23" s="97"/>
    </row>
    <row r="24" spans="1:83" s="7" customFormat="1" ht="35.25" customHeight="1">
      <c r="A24" s="120"/>
      <c r="B24" s="120"/>
      <c r="C24" s="82" t="s">
        <v>54</v>
      </c>
      <c r="D24" s="83" t="s">
        <v>38</v>
      </c>
      <c r="E24" s="87" t="s">
        <v>45</v>
      </c>
      <c r="F24" s="128" t="s">
        <v>36</v>
      </c>
      <c r="G24" s="126"/>
      <c r="H24" s="120"/>
      <c r="I24" s="10">
        <f t="shared" si="0"/>
        <v>3.4135723117664076</v>
      </c>
      <c r="J24" s="11">
        <f t="shared" si="1"/>
        <v>0.9549666221663784</v>
      </c>
      <c r="K24" s="11">
        <f t="shared" si="5"/>
        <v>54.715557025997811</v>
      </c>
      <c r="L24" s="12">
        <f t="shared" si="2"/>
        <v>0.91260509625000008</v>
      </c>
      <c r="M24" s="12">
        <f t="shared" si="6"/>
        <v>52.288420377255278</v>
      </c>
      <c r="O24" s="30">
        <f t="shared" si="7"/>
        <v>3.432995385993149</v>
      </c>
      <c r="P24" s="33">
        <f t="shared" si="8"/>
        <v>0.97449164374999997</v>
      </c>
      <c r="Q24" s="33">
        <f t="shared" si="9"/>
        <v>55.834258357641168</v>
      </c>
      <c r="R24" s="36">
        <f t="shared" si="10"/>
        <v>0.91392743374999996</v>
      </c>
      <c r="S24" s="36">
        <f t="shared" si="11"/>
        <v>52.364184735097147</v>
      </c>
      <c r="T24" s="16"/>
      <c r="U24" s="58">
        <f t="shared" si="12"/>
        <v>26.386925850112718</v>
      </c>
      <c r="V24" s="55">
        <f t="shared" si="3"/>
        <v>131.98279967412401</v>
      </c>
      <c r="W24" s="25">
        <f t="shared" si="4"/>
        <v>109.47084118650936</v>
      </c>
      <c r="X24" s="24"/>
      <c r="Y24" s="53"/>
      <c r="Z24" s="49"/>
      <c r="AA24" s="26"/>
      <c r="AB24" s="39"/>
      <c r="AC24" s="25">
        <f t="shared" si="13"/>
        <v>0.56899554053069423</v>
      </c>
      <c r="AD24" s="25">
        <f t="shared" si="14"/>
        <v>2.0445763370586043</v>
      </c>
      <c r="AE24" s="25">
        <f t="shared" si="15"/>
        <v>0.14489701026582519</v>
      </c>
      <c r="AF24" s="9"/>
      <c r="AG24" s="112" t="s">
        <v>40</v>
      </c>
      <c r="AH24" s="70">
        <v>1.18972326108107</v>
      </c>
      <c r="AI24" s="74">
        <v>4.5590938507785399</v>
      </c>
      <c r="AJ24" s="71">
        <v>0.86071605172244803</v>
      </c>
      <c r="AK24" s="71">
        <v>0.85991240072575803</v>
      </c>
      <c r="AL24" s="72">
        <v>0.91804609999999998</v>
      </c>
      <c r="AM24" s="72">
        <v>0.90693911999999999</v>
      </c>
      <c r="AN24" s="70">
        <v>2.0309062035108498</v>
      </c>
      <c r="AO24" s="70">
        <v>7.36171717649309</v>
      </c>
      <c r="AP24" s="71">
        <v>1.0081631900502199</v>
      </c>
      <c r="AQ24" s="71">
        <v>0.97768368751253998</v>
      </c>
      <c r="AR24" s="72">
        <v>0.94686119000000002</v>
      </c>
      <c r="AS24" s="72">
        <v>0.88199676000000005</v>
      </c>
      <c r="AT24" s="70">
        <v>1.75451889536964</v>
      </c>
      <c r="AU24" s="70">
        <v>6.3031539051881698</v>
      </c>
      <c r="AV24" s="71">
        <v>0.91224144583418798</v>
      </c>
      <c r="AW24" s="71">
        <v>0.88136133568661301</v>
      </c>
      <c r="AX24" s="72">
        <v>0.79857511999999997</v>
      </c>
      <c r="AY24" s="72">
        <v>0.74901481000000003</v>
      </c>
      <c r="AZ24" s="70">
        <v>0.84283856182825301</v>
      </c>
      <c r="BA24" s="70">
        <v>3.2666266398816499</v>
      </c>
      <c r="BB24" s="71">
        <v>1.0426095683832901</v>
      </c>
      <c r="BC24" s="71">
        <v>1.0970452974159699</v>
      </c>
      <c r="BD24" s="72">
        <v>1.0272424200000001</v>
      </c>
      <c r="BE24" s="72">
        <v>1.0721652500000001</v>
      </c>
      <c r="BG24" s="31">
        <v>1.20071674126996</v>
      </c>
      <c r="BH24" s="31">
        <v>4.5924625894125999</v>
      </c>
      <c r="BI24" s="34">
        <v>0.90068207</v>
      </c>
      <c r="BJ24" s="34">
        <v>0.89118923999999999</v>
      </c>
      <c r="BK24" s="37">
        <v>0.91574606999999997</v>
      </c>
      <c r="BL24" s="37">
        <v>0.88700305999999995</v>
      </c>
      <c r="BM24" s="31">
        <v>2.0443218557466398</v>
      </c>
      <c r="BN24" s="31">
        <v>7.4119506351861997</v>
      </c>
      <c r="BO24" s="34">
        <v>1.03802299</v>
      </c>
      <c r="BP24" s="34">
        <v>1.01215079</v>
      </c>
      <c r="BQ24" s="37">
        <v>0.98357591</v>
      </c>
      <c r="BR24" s="37">
        <v>0.91060118999999995</v>
      </c>
      <c r="BS24" s="31">
        <v>1.7665674213826399</v>
      </c>
      <c r="BT24" s="31">
        <v>6.3441676696255804</v>
      </c>
      <c r="BU24" s="34">
        <v>0.92579471999999996</v>
      </c>
      <c r="BV24" s="34">
        <v>0.89222235999999999</v>
      </c>
      <c r="BW24" s="37">
        <v>0.75792992999999997</v>
      </c>
      <c r="BX24" s="37">
        <v>0.69940113000000004</v>
      </c>
      <c r="BY24" s="31">
        <v>0.84181000018707297</v>
      </c>
      <c r="BZ24" s="31">
        <v>3.2619661751344999</v>
      </c>
      <c r="CA24" s="34">
        <v>1.0366851699999999</v>
      </c>
      <c r="CB24" s="34">
        <v>1.09918581</v>
      </c>
      <c r="CC24" s="37">
        <v>1.0589906</v>
      </c>
      <c r="CD24" s="95">
        <v>1.09817158</v>
      </c>
      <c r="CE24" s="99" t="s">
        <v>55</v>
      </c>
    </row>
    <row r="25" spans="1:83" s="7" customFormat="1" ht="35.25" customHeight="1">
      <c r="A25" s="120"/>
      <c r="B25" s="120"/>
      <c r="C25" s="91" t="s">
        <v>56</v>
      </c>
      <c r="D25" s="85" t="s">
        <v>43</v>
      </c>
      <c r="E25" s="87" t="s">
        <v>45</v>
      </c>
      <c r="F25" s="129"/>
      <c r="G25" s="126"/>
      <c r="H25" s="120"/>
      <c r="I25" s="10">
        <f t="shared" si="0"/>
        <v>3.11455476545515</v>
      </c>
      <c r="J25" s="11">
        <f t="shared" si="1"/>
        <v>0.6603765881086513</v>
      </c>
      <c r="K25" s="11">
        <f t="shared" si="5"/>
        <v>37.836791387874868</v>
      </c>
      <c r="L25" s="12">
        <f t="shared" si="2"/>
        <v>0.56862878625000002</v>
      </c>
      <c r="M25" s="12">
        <f t="shared" si="6"/>
        <v>32.580029561771617</v>
      </c>
      <c r="O25" s="30" t="e">
        <f t="shared" si="7"/>
        <v>#DIV/0!</v>
      </c>
      <c r="P25" s="33" t="e">
        <f t="shared" si="8"/>
        <v>#DIV/0!</v>
      </c>
      <c r="Q25" s="33" t="e">
        <f t="shared" si="9"/>
        <v>#DIV/0!</v>
      </c>
      <c r="R25" s="36" t="e">
        <f t="shared" si="10"/>
        <v>#DIV/0!</v>
      </c>
      <c r="S25" s="36" t="e">
        <f t="shared" si="11"/>
        <v>#DIV/0!</v>
      </c>
      <c r="T25" s="16"/>
      <c r="U25" s="58">
        <f t="shared" si="12"/>
        <v>15.315852791763609</v>
      </c>
      <c r="V25" s="55">
        <f t="shared" si="3"/>
        <v>60.420276680623395</v>
      </c>
      <c r="W25" s="25">
        <f t="shared" si="4"/>
        <v>30.517735073026458</v>
      </c>
      <c r="X25" s="24"/>
      <c r="Y25" s="53">
        <f>(I25-I24)/I24*100</f>
        <v>-8.7596663847008482</v>
      </c>
      <c r="Z25" s="51">
        <f>(K25-K24)/K24 *100</f>
        <v>-30.848202148619425</v>
      </c>
      <c r="AA25" s="27">
        <f>(M25-M24)/M24 *100</f>
        <v>-37.691692870600718</v>
      </c>
      <c r="AB25" s="41"/>
      <c r="AC25" s="25" t="e">
        <f t="shared" si="13"/>
        <v>#DIV/0!</v>
      </c>
      <c r="AD25" s="25" t="e">
        <f t="shared" si="14"/>
        <v>#DIV/0!</v>
      </c>
      <c r="AE25" s="25" t="e">
        <f t="shared" si="15"/>
        <v>#DIV/0!</v>
      </c>
      <c r="AF25" s="9"/>
      <c r="AG25" s="112" t="s">
        <v>40</v>
      </c>
      <c r="AH25" s="70">
        <v>1.10758682310209</v>
      </c>
      <c r="AI25" s="74">
        <v>4.2363287405985899</v>
      </c>
      <c r="AJ25" s="71">
        <v>0.68885789543100395</v>
      </c>
      <c r="AK25" s="71">
        <v>0.68553937463298598</v>
      </c>
      <c r="AL25" s="72">
        <v>0.61069896999999995</v>
      </c>
      <c r="AM25" s="72">
        <v>0.59633426</v>
      </c>
      <c r="AN25" s="70">
        <v>1.84960643059776</v>
      </c>
      <c r="AO25" s="70">
        <v>6.6709392367394598</v>
      </c>
      <c r="AP25" s="71">
        <v>0.67207459001598202</v>
      </c>
      <c r="AQ25" s="71">
        <v>0.66712830616235796</v>
      </c>
      <c r="AR25" s="72">
        <v>0.70728153000000005</v>
      </c>
      <c r="AS25" s="72">
        <v>0.67883746</v>
      </c>
      <c r="AT25" s="70">
        <v>1.5932237726944101</v>
      </c>
      <c r="AU25" s="70">
        <v>5.6722675008043497</v>
      </c>
      <c r="AV25" s="71">
        <v>0.62440703972605405</v>
      </c>
      <c r="AW25" s="71">
        <v>0.60828637975743405</v>
      </c>
      <c r="AX25" s="72">
        <v>0.59099592000000001</v>
      </c>
      <c r="AY25" s="72">
        <v>0.55820952999999995</v>
      </c>
      <c r="AZ25" s="70">
        <v>0.77620865373122905</v>
      </c>
      <c r="BA25" s="70">
        <v>3.0102769653733099</v>
      </c>
      <c r="BB25" s="71">
        <v>0.65759375477368898</v>
      </c>
      <c r="BC25" s="71">
        <v>0.67912536436970306</v>
      </c>
      <c r="BD25" s="72">
        <v>0.39968492</v>
      </c>
      <c r="BE25" s="72">
        <v>0.40698770000000001</v>
      </c>
      <c r="BG25" s="31"/>
      <c r="BH25" s="31"/>
      <c r="BI25" s="34"/>
      <c r="BJ25" s="34"/>
      <c r="BK25" s="37"/>
      <c r="BL25" s="37"/>
      <c r="BM25" s="31"/>
      <c r="BN25" s="31"/>
      <c r="BO25" s="34"/>
      <c r="BP25" s="34"/>
      <c r="BQ25" s="37"/>
      <c r="BR25" s="37"/>
      <c r="BS25" s="31"/>
      <c r="BT25" s="31"/>
      <c r="BU25" s="34"/>
      <c r="BV25" s="34"/>
      <c r="BW25" s="37"/>
      <c r="BX25" s="37"/>
      <c r="BY25" s="31"/>
      <c r="BZ25" s="31"/>
      <c r="CA25" s="34"/>
      <c r="CB25" s="34"/>
      <c r="CC25" s="37"/>
      <c r="CD25" s="95"/>
      <c r="CE25" s="97"/>
    </row>
    <row r="26" spans="1:83" s="7" customFormat="1" ht="35.25" customHeight="1">
      <c r="A26" s="120"/>
      <c r="B26" s="120"/>
      <c r="C26" s="82" t="s">
        <v>54</v>
      </c>
      <c r="D26" s="83" t="s">
        <v>38</v>
      </c>
      <c r="E26" s="87" t="s">
        <v>45</v>
      </c>
      <c r="F26" s="128" t="s">
        <v>47</v>
      </c>
      <c r="G26" s="126"/>
      <c r="H26" s="120"/>
      <c r="I26" s="10">
        <f t="shared" si="0"/>
        <v>3.6167362266903416</v>
      </c>
      <c r="J26" s="11">
        <f t="shared" si="1"/>
        <v>1.1740711766590652</v>
      </c>
      <c r="K26" s="11">
        <f t="shared" si="5"/>
        <v>67.269323270522932</v>
      </c>
      <c r="L26" s="12">
        <f t="shared" si="2"/>
        <v>1.1479744825</v>
      </c>
      <c r="M26" s="12">
        <f t="shared" si="6"/>
        <v>65.77409283596478</v>
      </c>
      <c r="O26" s="30">
        <f t="shared" si="7"/>
        <v>3.6028933748155807</v>
      </c>
      <c r="P26" s="33">
        <f t="shared" si="8"/>
        <v>1.16952529375</v>
      </c>
      <c r="Q26" s="33">
        <f t="shared" si="9"/>
        <v>67.008863365672838</v>
      </c>
      <c r="R26" s="36">
        <f t="shared" si="10"/>
        <v>1.0950724712500002</v>
      </c>
      <c r="S26" s="36">
        <f t="shared" si="11"/>
        <v>62.743030863586192</v>
      </c>
      <c r="T26" s="16"/>
      <c r="U26" s="58">
        <f t="shared" si="12"/>
        <v>33.909034745360565</v>
      </c>
      <c r="V26" s="55">
        <f t="shared" si="3"/>
        <v>185.208207549908</v>
      </c>
      <c r="W26" s="25">
        <f t="shared" si="4"/>
        <v>163.49532946729119</v>
      </c>
      <c r="X26" s="24"/>
      <c r="Y26" s="53"/>
      <c r="Z26" s="49"/>
      <c r="AA26" s="26"/>
      <c r="AB26" s="39"/>
      <c r="AC26" s="25">
        <f t="shared" si="13"/>
        <v>-0.38274430334745185</v>
      </c>
      <c r="AD26" s="25">
        <f t="shared" si="14"/>
        <v>-0.38718972064377311</v>
      </c>
      <c r="AE26" s="25">
        <f t="shared" si="15"/>
        <v>-4.6082915654006946</v>
      </c>
      <c r="AF26" s="9"/>
      <c r="AG26" s="112" t="s">
        <v>40</v>
      </c>
      <c r="AH26" s="70">
        <v>1.2585705632339099</v>
      </c>
      <c r="AI26" s="74">
        <v>4.84021066085859</v>
      </c>
      <c r="AJ26" s="71">
        <v>1.04828460100057</v>
      </c>
      <c r="AK26" s="71">
        <v>1.0506596996288899</v>
      </c>
      <c r="AL26" s="72">
        <v>1.0252351</v>
      </c>
      <c r="AM26" s="72">
        <v>0.99325417999999999</v>
      </c>
      <c r="AN26" s="70">
        <v>2.0965424034865499</v>
      </c>
      <c r="AO26" s="70">
        <v>7.6338669658161598</v>
      </c>
      <c r="AP26" s="71">
        <v>1.16163648742557</v>
      </c>
      <c r="AQ26" s="71">
        <v>1.1345360859771001</v>
      </c>
      <c r="AR26" s="72">
        <v>1.01874917</v>
      </c>
      <c r="AS26" s="72">
        <v>0.91937287999999995</v>
      </c>
      <c r="AT26" s="70">
        <v>1.8408428555207299</v>
      </c>
      <c r="AU26" s="70">
        <v>6.6556668155710703</v>
      </c>
      <c r="AV26" s="71">
        <v>1.1475556078507601</v>
      </c>
      <c r="AW26" s="71">
        <v>1.1171732707419899</v>
      </c>
      <c r="AX26" s="72">
        <v>1.03570395</v>
      </c>
      <c r="AY26" s="72">
        <v>0.96920512000000003</v>
      </c>
      <c r="AZ26" s="70">
        <v>0.94762184136144201</v>
      </c>
      <c r="BA26" s="70">
        <v>3.66056770767428</v>
      </c>
      <c r="BB26" s="71">
        <v>1.34446441364769</v>
      </c>
      <c r="BC26" s="71">
        <v>1.38825924699995</v>
      </c>
      <c r="BD26" s="72">
        <v>1.56898311</v>
      </c>
      <c r="BE26" s="72">
        <v>1.6532923500000001</v>
      </c>
      <c r="BG26" s="31">
        <v>1.25568037571491</v>
      </c>
      <c r="BH26" s="31">
        <v>4.8241615352871099</v>
      </c>
      <c r="BI26" s="34">
        <v>1.0549320900000001</v>
      </c>
      <c r="BJ26" s="34">
        <v>1.0614517999999999</v>
      </c>
      <c r="BK26" s="37">
        <v>0.96334739999999996</v>
      </c>
      <c r="BL26" s="37">
        <v>0.96226666000000005</v>
      </c>
      <c r="BM26" s="31">
        <v>2.1028017013658702</v>
      </c>
      <c r="BN26" s="31">
        <v>7.6581213177248504</v>
      </c>
      <c r="BO26" s="34">
        <v>1.18880633</v>
      </c>
      <c r="BP26" s="34">
        <v>1.17057798</v>
      </c>
      <c r="BQ26" s="37">
        <v>0.99606360999999999</v>
      </c>
      <c r="BR26" s="37">
        <v>0.94975957</v>
      </c>
      <c r="BS26" s="31">
        <v>1.83965233126989</v>
      </c>
      <c r="BT26" s="31">
        <v>6.6429443790321896</v>
      </c>
      <c r="BU26" s="34">
        <v>1.12662675</v>
      </c>
      <c r="BV26" s="34">
        <v>1.1008308</v>
      </c>
      <c r="BW26" s="37">
        <v>0.93060366999999999</v>
      </c>
      <c r="BX26" s="37">
        <v>0.90158360000000004</v>
      </c>
      <c r="BY26" s="31">
        <v>0.92720601858032603</v>
      </c>
      <c r="BZ26" s="31">
        <v>3.5725793395494998</v>
      </c>
      <c r="CA26" s="34">
        <v>1.2921830999999999</v>
      </c>
      <c r="CB26" s="34">
        <v>1.3607935</v>
      </c>
      <c r="CC26" s="37">
        <v>1.4734061899999999</v>
      </c>
      <c r="CD26" s="95">
        <v>1.5835490699999999</v>
      </c>
      <c r="CE26" s="97" t="s">
        <v>55</v>
      </c>
    </row>
    <row r="27" spans="1:83" s="7" customFormat="1" ht="35.25" customHeight="1">
      <c r="A27" s="120"/>
      <c r="B27" s="120"/>
      <c r="C27" s="91" t="s">
        <v>56</v>
      </c>
      <c r="D27" s="85" t="s">
        <v>43</v>
      </c>
      <c r="E27" s="87" t="s">
        <v>45</v>
      </c>
      <c r="F27" s="129"/>
      <c r="G27" s="126"/>
      <c r="H27" s="120"/>
      <c r="I27" s="10">
        <f t="shared" si="0"/>
        <v>3.4775327271505252</v>
      </c>
      <c r="J27" s="11">
        <f t="shared" si="1"/>
        <v>0.97676825594578198</v>
      </c>
      <c r="K27" s="11">
        <f t="shared" si="5"/>
        <v>55.964698628047486</v>
      </c>
      <c r="L27" s="12">
        <f t="shared" si="2"/>
        <v>0.76671494374999993</v>
      </c>
      <c r="M27" s="12">
        <f t="shared" si="6"/>
        <v>43.929530366485309</v>
      </c>
      <c r="O27" s="30" t="e">
        <f t="shared" si="7"/>
        <v>#DIV/0!</v>
      </c>
      <c r="P27" s="33" t="e">
        <f t="shared" si="8"/>
        <v>#DIV/0!</v>
      </c>
      <c r="Q27" s="33" t="e">
        <f t="shared" si="9"/>
        <v>#DIV/0!</v>
      </c>
      <c r="R27" s="36" t="e">
        <f t="shared" si="10"/>
        <v>#DIV/0!</v>
      </c>
      <c r="S27" s="36" t="e">
        <f t="shared" si="11"/>
        <v>#DIV/0!</v>
      </c>
      <c r="T27" s="16"/>
      <c r="U27" s="58">
        <f t="shared" si="12"/>
        <v>28.755049193693456</v>
      </c>
      <c r="V27" s="55">
        <f t="shared" si="3"/>
        <v>137.27890523867518</v>
      </c>
      <c r="W27" s="25">
        <f t="shared" si="4"/>
        <v>75.984579614470533</v>
      </c>
      <c r="X27" s="24"/>
      <c r="Y27" s="53">
        <f>(I27-I26)/I26*100</f>
        <v>-3.8488706616904942</v>
      </c>
      <c r="Z27" s="51">
        <f>(K27-K26)/K26 *100</f>
        <v>-16.805022100510818</v>
      </c>
      <c r="AA27" s="27">
        <f>(M27-M26)/M26 *100</f>
        <v>-33.211499433307317</v>
      </c>
      <c r="AB27" s="41"/>
      <c r="AC27" s="25" t="e">
        <f t="shared" si="13"/>
        <v>#DIV/0!</v>
      </c>
      <c r="AD27" s="25" t="e">
        <f t="shared" si="14"/>
        <v>#DIV/0!</v>
      </c>
      <c r="AE27" s="25" t="e">
        <f t="shared" si="15"/>
        <v>#DIV/0!</v>
      </c>
      <c r="AF27" s="9"/>
      <c r="AG27" s="112" t="s">
        <v>40</v>
      </c>
      <c r="AH27" s="70">
        <v>1.24199174414244</v>
      </c>
      <c r="AI27" s="74">
        <v>4.7230204750305704</v>
      </c>
      <c r="AJ27" s="71">
        <v>0.98733555082607805</v>
      </c>
      <c r="AK27" s="71">
        <v>0.95452223926910895</v>
      </c>
      <c r="AL27" s="72">
        <v>0.74925489999999995</v>
      </c>
      <c r="AM27" s="72">
        <v>0.72088658999999999</v>
      </c>
      <c r="AN27" s="70">
        <v>1.9854412927117999</v>
      </c>
      <c r="AO27" s="70">
        <v>7.2393691616454596</v>
      </c>
      <c r="AP27" s="71">
        <v>0.96716279281455697</v>
      </c>
      <c r="AQ27" s="71">
        <v>0.96930684549063195</v>
      </c>
      <c r="AR27" s="72">
        <v>0.85035616000000003</v>
      </c>
      <c r="AS27" s="72">
        <v>0.83107043999999997</v>
      </c>
      <c r="AT27" s="70">
        <v>1.7098639151944099</v>
      </c>
      <c r="AU27" s="70">
        <v>6.1591932647756602</v>
      </c>
      <c r="AV27" s="71">
        <v>0.83624841141943496</v>
      </c>
      <c r="AW27" s="71">
        <v>0.84330656573709595</v>
      </c>
      <c r="AX27" s="72">
        <v>0.64958335</v>
      </c>
      <c r="AY27" s="72">
        <v>0.65592103999999996</v>
      </c>
      <c r="AZ27" s="70">
        <v>0.97457827375547101</v>
      </c>
      <c r="BA27" s="70">
        <v>3.7868036899483899</v>
      </c>
      <c r="BB27" s="71">
        <v>1.1120421276374499</v>
      </c>
      <c r="BC27" s="71">
        <v>1.1442215143718999</v>
      </c>
      <c r="BD27" s="72">
        <v>0.83166651999999996</v>
      </c>
      <c r="BE27" s="72">
        <v>0.84498055000000005</v>
      </c>
      <c r="BG27" s="31"/>
      <c r="BH27" s="31"/>
      <c r="BI27" s="34"/>
      <c r="BJ27" s="34"/>
      <c r="BK27" s="37"/>
      <c r="BL27" s="37"/>
      <c r="BM27" s="31"/>
      <c r="BN27" s="31"/>
      <c r="BO27" s="34"/>
      <c r="BP27" s="34"/>
      <c r="BQ27" s="37"/>
      <c r="BR27" s="37"/>
      <c r="BS27" s="31"/>
      <c r="BT27" s="31"/>
      <c r="BU27" s="34"/>
      <c r="BV27" s="34"/>
      <c r="BW27" s="37"/>
      <c r="BX27" s="37"/>
      <c r="BY27" s="31"/>
      <c r="BZ27" s="31"/>
      <c r="CA27" s="34"/>
      <c r="CB27" s="34"/>
      <c r="CC27" s="37"/>
      <c r="CD27" s="95"/>
      <c r="CE27" s="97"/>
    </row>
    <row r="28" spans="1:83" s="7" customFormat="1" ht="35.25" customHeight="1">
      <c r="A28" s="120"/>
      <c r="B28" s="120"/>
      <c r="C28" s="82" t="s">
        <v>54</v>
      </c>
      <c r="D28" s="83" t="s">
        <v>38</v>
      </c>
      <c r="E28" s="87" t="s">
        <v>45</v>
      </c>
      <c r="F28" s="128" t="s">
        <v>48</v>
      </c>
      <c r="G28" s="126"/>
      <c r="H28" s="120"/>
      <c r="I28" s="10">
        <f t="shared" si="0"/>
        <v>3.7753520610074656</v>
      </c>
      <c r="J28" s="11">
        <f t="shared" si="1"/>
        <v>1.3849919921701337</v>
      </c>
      <c r="K28" s="11">
        <f t="shared" si="5"/>
        <v>79.354195810764622</v>
      </c>
      <c r="L28" s="12">
        <f t="shared" si="2"/>
        <v>1.4666929750000002</v>
      </c>
      <c r="M28" s="12">
        <f t="shared" si="6"/>
        <v>84.035317308986777</v>
      </c>
      <c r="O28" s="30">
        <f t="shared" si="7"/>
        <v>3.7230526314078807</v>
      </c>
      <c r="P28" s="33">
        <f t="shared" si="8"/>
        <v>1.3396765712500001</v>
      </c>
      <c r="Q28" s="33">
        <f t="shared" si="9"/>
        <v>76.757813445182123</v>
      </c>
      <c r="R28" s="36">
        <f t="shared" si="10"/>
        <v>1.3550387099999999</v>
      </c>
      <c r="S28" s="36">
        <f t="shared" si="11"/>
        <v>77.637999159851489</v>
      </c>
      <c r="T28" s="16"/>
      <c r="U28" s="58">
        <f t="shared" si="12"/>
        <v>39.781758642666404</v>
      </c>
      <c r="V28" s="55">
        <f t="shared" si="3"/>
        <v>236.44560177506685</v>
      </c>
      <c r="W28" s="25">
        <f t="shared" si="4"/>
        <v>236.65099230547276</v>
      </c>
      <c r="X28" s="24"/>
      <c r="Y28" s="53"/>
      <c r="Z28" s="49"/>
      <c r="AA28" s="26"/>
      <c r="AB28" s="39"/>
      <c r="AC28" s="25">
        <f t="shared" si="13"/>
        <v>-1.3852861601900144</v>
      </c>
      <c r="AD28" s="25">
        <f t="shared" si="14"/>
        <v>-3.271890464083429</v>
      </c>
      <c r="AE28" s="25">
        <f t="shared" si="15"/>
        <v>-7.6126542434690787</v>
      </c>
      <c r="AF28" s="9"/>
      <c r="AG28" s="112" t="s">
        <v>40</v>
      </c>
      <c r="AH28" s="70">
        <v>1.33017957625414</v>
      </c>
      <c r="AI28" s="74">
        <v>5.12901859138994</v>
      </c>
      <c r="AJ28" s="71">
        <v>1.2810740694657601</v>
      </c>
      <c r="AK28" s="71">
        <v>1.2972948683824801</v>
      </c>
      <c r="AL28" s="72">
        <v>1.3166596100000001</v>
      </c>
      <c r="AM28" s="72">
        <v>1.2864185800000001</v>
      </c>
      <c r="AN28" s="70">
        <v>2.1646357771818301</v>
      </c>
      <c r="AO28" s="70">
        <v>7.9133229485460301</v>
      </c>
      <c r="AP28" s="71">
        <v>1.3746365898541499</v>
      </c>
      <c r="AQ28" s="71">
        <v>1.3470273504038801</v>
      </c>
      <c r="AR28" s="72">
        <v>1.4453926699999999</v>
      </c>
      <c r="AS28" s="72">
        <v>1.38911502</v>
      </c>
      <c r="AT28" s="70">
        <v>1.9192837764958599</v>
      </c>
      <c r="AU28" s="70">
        <v>7.0008874915032102</v>
      </c>
      <c r="AV28" s="71">
        <v>1.3995181361026601</v>
      </c>
      <c r="AW28" s="71">
        <v>1.38785468887782</v>
      </c>
      <c r="AX28" s="72">
        <v>1.4590892099999999</v>
      </c>
      <c r="AY28" s="72">
        <v>1.42729868</v>
      </c>
      <c r="AZ28" s="70">
        <v>0.97883203289076604</v>
      </c>
      <c r="BA28" s="70">
        <v>3.7666562937979502</v>
      </c>
      <c r="BB28" s="71">
        <v>1.4839967570541199</v>
      </c>
      <c r="BC28" s="71">
        <v>1.5085334772201999</v>
      </c>
      <c r="BD28" s="72">
        <v>1.7068992000000001</v>
      </c>
      <c r="BE28" s="72">
        <v>1.70267083</v>
      </c>
      <c r="BG28" s="31">
        <v>1.31156253776554</v>
      </c>
      <c r="BH28" s="31">
        <v>5.0589564352374001</v>
      </c>
      <c r="BI28" s="34">
        <v>1.26833105</v>
      </c>
      <c r="BJ28" s="34">
        <v>1.2849094599999999</v>
      </c>
      <c r="BK28" s="37">
        <v>1.2084111799999999</v>
      </c>
      <c r="BL28" s="37">
        <v>1.1838579600000001</v>
      </c>
      <c r="BM28" s="31">
        <v>2.14677605766123</v>
      </c>
      <c r="BN28" s="31">
        <v>7.8556346649422499</v>
      </c>
      <c r="BO28" s="34">
        <v>1.3436709099999999</v>
      </c>
      <c r="BP28" s="34">
        <v>1.32928402</v>
      </c>
      <c r="BQ28" s="37">
        <v>1.32694921</v>
      </c>
      <c r="BR28" s="37">
        <v>1.27635242</v>
      </c>
      <c r="BS28" s="31">
        <v>1.89590964078447</v>
      </c>
      <c r="BT28" s="31">
        <v>6.9064107746594399</v>
      </c>
      <c r="BU28" s="34">
        <v>1.3198617800000001</v>
      </c>
      <c r="BV28" s="34">
        <v>1.31538829</v>
      </c>
      <c r="BW28" s="37">
        <v>1.2490134799999999</v>
      </c>
      <c r="BX28" s="37">
        <v>1.22325532</v>
      </c>
      <c r="BY28" s="31">
        <v>0.95258406341233404</v>
      </c>
      <c r="BZ28" s="31">
        <v>3.6565868768003802</v>
      </c>
      <c r="CA28" s="34">
        <v>1.4030928199999999</v>
      </c>
      <c r="CB28" s="34">
        <v>1.4528742400000001</v>
      </c>
      <c r="CC28" s="37">
        <v>1.6864931400000001</v>
      </c>
      <c r="CD28" s="95">
        <v>1.68597697</v>
      </c>
      <c r="CE28" s="97" t="s">
        <v>55</v>
      </c>
    </row>
    <row r="29" spans="1:83" s="7" customFormat="1" ht="35.25" customHeight="1">
      <c r="A29" s="121"/>
      <c r="B29" s="121"/>
      <c r="C29" s="91" t="s">
        <v>56</v>
      </c>
      <c r="D29" s="85" t="s">
        <v>43</v>
      </c>
      <c r="E29" s="87" t="s">
        <v>45</v>
      </c>
      <c r="F29" s="129"/>
      <c r="G29" s="127"/>
      <c r="H29" s="121"/>
      <c r="I29" s="10">
        <f t="shared" si="0"/>
        <v>3.8592430759104883</v>
      </c>
      <c r="J29" s="11">
        <f t="shared" si="1"/>
        <v>1.326685110924771</v>
      </c>
      <c r="K29" s="11">
        <f t="shared" si="5"/>
        <v>76.013457598834847</v>
      </c>
      <c r="L29" s="12">
        <f t="shared" si="2"/>
        <v>1.2752339300000002</v>
      </c>
      <c r="M29" s="12">
        <f t="shared" si="6"/>
        <v>73.065522080881465</v>
      </c>
      <c r="O29" s="30" t="e">
        <f t="shared" si="7"/>
        <v>#DIV/0!</v>
      </c>
      <c r="P29" s="33" t="e">
        <f t="shared" si="8"/>
        <v>#DIV/0!</v>
      </c>
      <c r="Q29" s="33" t="e">
        <f t="shared" si="9"/>
        <v>#DIV/0!</v>
      </c>
      <c r="R29" s="36" t="e">
        <f t="shared" si="10"/>
        <v>#DIV/0!</v>
      </c>
      <c r="S29" s="36" t="e">
        <f t="shared" si="11"/>
        <v>#DIV/0!</v>
      </c>
      <c r="T29" s="16"/>
      <c r="U29" s="58">
        <f t="shared" si="12"/>
        <v>42.887808994519794</v>
      </c>
      <c r="V29" s="55">
        <f t="shared" si="3"/>
        <v>222.28155327577875</v>
      </c>
      <c r="W29" s="25">
        <f t="shared" si="4"/>
        <v>192.70527320559896</v>
      </c>
      <c r="X29" s="24"/>
      <c r="Y29" s="53">
        <f>(I29-I28)/I28*100</f>
        <v>2.2220713074540694</v>
      </c>
      <c r="Z29" s="51">
        <f>(K29-K28)/K28 *100</f>
        <v>-4.2099074633638898</v>
      </c>
      <c r="AA29" s="27">
        <f>(M29-M28)/M28 *100</f>
        <v>-13.053791643066953</v>
      </c>
      <c r="AB29" s="41"/>
      <c r="AC29" s="25" t="e">
        <f t="shared" si="13"/>
        <v>#DIV/0!</v>
      </c>
      <c r="AD29" s="25" t="e">
        <f t="shared" si="14"/>
        <v>#DIV/0!</v>
      </c>
      <c r="AE29" s="25" t="e">
        <f t="shared" si="15"/>
        <v>#DIV/0!</v>
      </c>
      <c r="AF29" s="9"/>
      <c r="AG29" s="112" t="s">
        <v>40</v>
      </c>
      <c r="AH29" s="70">
        <v>1.3081103917236701</v>
      </c>
      <c r="AI29" s="74">
        <v>4.9854922961752104</v>
      </c>
      <c r="AJ29" s="71">
        <v>1.1738278593495299</v>
      </c>
      <c r="AK29" s="71">
        <v>1.1620551086758399</v>
      </c>
      <c r="AL29" s="72">
        <v>0.94913466000000002</v>
      </c>
      <c r="AM29" s="72">
        <v>0.95635060000000005</v>
      </c>
      <c r="AN29" s="70">
        <v>2.1661227367751499</v>
      </c>
      <c r="AO29" s="70">
        <v>7.9702039656149504</v>
      </c>
      <c r="AP29" s="71">
        <v>1.3143635352159</v>
      </c>
      <c r="AQ29" s="71">
        <v>1.34254089538559</v>
      </c>
      <c r="AR29" s="72">
        <v>1.25914942</v>
      </c>
      <c r="AS29" s="72">
        <v>1.2720104400000001</v>
      </c>
      <c r="AT29" s="70">
        <v>1.8430933152198801</v>
      </c>
      <c r="AU29" s="70">
        <v>6.7218986982532298</v>
      </c>
      <c r="AV29" s="71">
        <v>1.0827670834034999</v>
      </c>
      <c r="AW29" s="71">
        <v>1.12212373247973</v>
      </c>
      <c r="AX29" s="72">
        <v>0.86014190000000001</v>
      </c>
      <c r="AY29" s="72">
        <v>0.87313207999999998</v>
      </c>
      <c r="AZ29" s="70">
        <v>1.1842310115813901</v>
      </c>
      <c r="BA29" s="70">
        <v>4.6947921919404303</v>
      </c>
      <c r="BB29" s="71">
        <v>1.6875347851810401</v>
      </c>
      <c r="BC29" s="71">
        <v>1.7282678877070401</v>
      </c>
      <c r="BD29" s="72">
        <v>2.0123452500000001</v>
      </c>
      <c r="BE29" s="72">
        <v>2.01960709</v>
      </c>
      <c r="BG29" s="31"/>
      <c r="BH29" s="31"/>
      <c r="BI29" s="34"/>
      <c r="BJ29" s="34"/>
      <c r="BK29" s="37"/>
      <c r="BL29" s="37"/>
      <c r="BM29" s="31"/>
      <c r="BN29" s="31"/>
      <c r="BO29" s="34"/>
      <c r="BP29" s="34"/>
      <c r="BQ29" s="37"/>
      <c r="BR29" s="37"/>
      <c r="BS29" s="31"/>
      <c r="BT29" s="31"/>
      <c r="BU29" s="34"/>
      <c r="BV29" s="34"/>
      <c r="BW29" s="37"/>
      <c r="BX29" s="37"/>
      <c r="BY29" s="31"/>
      <c r="BZ29" s="31"/>
      <c r="CA29" s="34"/>
      <c r="CB29" s="34"/>
      <c r="CC29" s="37"/>
      <c r="CD29" s="95"/>
      <c r="CE29" s="97"/>
    </row>
    <row r="30" spans="1:83" s="7" customFormat="1" ht="35.25" customHeight="1">
      <c r="A30" s="122" t="s">
        <v>57</v>
      </c>
      <c r="B30" s="122" t="s">
        <v>36</v>
      </c>
      <c r="C30" s="81" t="s">
        <v>58</v>
      </c>
      <c r="D30" s="83" t="s">
        <v>38</v>
      </c>
      <c r="E30" s="86" t="s">
        <v>38</v>
      </c>
      <c r="F30" s="123" t="s">
        <v>39</v>
      </c>
      <c r="G30" s="125">
        <v>4</v>
      </c>
      <c r="H30" s="122">
        <v>8</v>
      </c>
      <c r="I30" s="10">
        <f t="shared" si="0"/>
        <v>3.4391545910273273</v>
      </c>
      <c r="J30" s="11">
        <f t="shared" si="1"/>
        <v>1.0471044521834849</v>
      </c>
      <c r="K30" s="11">
        <f t="shared" si="5"/>
        <v>59.994665819471805</v>
      </c>
      <c r="L30" s="12">
        <f t="shared" si="2"/>
        <v>0.83554332624999994</v>
      </c>
      <c r="M30" s="12">
        <f t="shared" si="6"/>
        <v>47.873106194447409</v>
      </c>
      <c r="O30" s="30">
        <f t="shared" si="7"/>
        <v>3.4988682912946487</v>
      </c>
      <c r="P30" s="33">
        <f t="shared" si="8"/>
        <v>1.1045844075</v>
      </c>
      <c r="Q30" s="33">
        <f t="shared" si="9"/>
        <v>63.288024665708676</v>
      </c>
      <c r="R30" s="36">
        <f t="shared" si="10"/>
        <v>0.82773335000000003</v>
      </c>
      <c r="S30" s="36">
        <f t="shared" si="11"/>
        <v>47.425627517225003</v>
      </c>
      <c r="T30" s="16"/>
      <c r="U30" s="58">
        <f t="shared" si="12"/>
        <v>27.334105325667359</v>
      </c>
      <c r="V30" s="55">
        <f t="shared" si="3"/>
        <v>154.36514400651365</v>
      </c>
      <c r="W30" s="25">
        <f t="shared" si="4"/>
        <v>91.78280300706956</v>
      </c>
      <c r="X30" s="24"/>
      <c r="Y30" s="53"/>
      <c r="Z30" s="49"/>
      <c r="AA30" s="26"/>
      <c r="AB30" s="39"/>
      <c r="AC30" s="25">
        <f t="shared" si="13"/>
        <v>1.7362900877766005</v>
      </c>
      <c r="AD30" s="25">
        <f t="shared" si="14"/>
        <v>5.4894194362992543</v>
      </c>
      <c r="AE30" s="25">
        <f t="shared" si="15"/>
        <v>-0.93471828505313803</v>
      </c>
      <c r="AF30" s="9"/>
      <c r="AG30" s="112" t="s">
        <v>40</v>
      </c>
      <c r="AH30" s="70">
        <v>1.23932764266102</v>
      </c>
      <c r="AI30" s="74">
        <v>4.7777119574057396</v>
      </c>
      <c r="AJ30" s="71">
        <v>1.06940945618672</v>
      </c>
      <c r="AK30" s="71">
        <v>1.09470918922557</v>
      </c>
      <c r="AL30" s="72">
        <v>0.88354425999999997</v>
      </c>
      <c r="AM30" s="72">
        <v>0.87783787999999996</v>
      </c>
      <c r="AN30" s="70">
        <v>2.09339603985112</v>
      </c>
      <c r="AO30" s="70">
        <v>7.6828911624072598</v>
      </c>
      <c r="AP30" s="71">
        <v>1.23038384636263</v>
      </c>
      <c r="AQ30" s="71">
        <v>1.24649768246955</v>
      </c>
      <c r="AR30" s="72">
        <v>1.03153147</v>
      </c>
      <c r="AS30" s="72">
        <v>1.0271788900000001</v>
      </c>
      <c r="AT30" s="70">
        <v>1.8309479081265501</v>
      </c>
      <c r="AU30" s="70">
        <v>6.6608761057863202</v>
      </c>
      <c r="AV30" s="71">
        <v>1.1367651136471699</v>
      </c>
      <c r="AW30" s="71">
        <v>1.1506442529204599</v>
      </c>
      <c r="AX30" s="72">
        <v>0.94914114000000005</v>
      </c>
      <c r="AY30" s="72">
        <v>0.93497892999999999</v>
      </c>
      <c r="AZ30" s="70">
        <v>0.67307753895414002</v>
      </c>
      <c r="BA30" s="70">
        <v>2.5550083730264701</v>
      </c>
      <c r="BB30" s="71">
        <v>0.74373768309138</v>
      </c>
      <c r="BC30" s="71">
        <v>0.70468839356440005</v>
      </c>
      <c r="BD30" s="72">
        <v>0.50955594000000004</v>
      </c>
      <c r="BE30" s="72">
        <v>0.4705781</v>
      </c>
      <c r="BG30" s="31">
        <v>1.2650489113386001</v>
      </c>
      <c r="BH30" s="31">
        <v>4.8818251189939899</v>
      </c>
      <c r="BI30" s="34">
        <v>1.1365990800000001</v>
      </c>
      <c r="BJ30" s="34">
        <v>1.17189326</v>
      </c>
      <c r="BK30" s="37">
        <v>0.90117210000000003</v>
      </c>
      <c r="BL30" s="37">
        <v>0.88796195</v>
      </c>
      <c r="BM30" s="31">
        <v>2.10434595009818</v>
      </c>
      <c r="BN30" s="31">
        <v>7.7351655799084797</v>
      </c>
      <c r="BO30" s="34">
        <v>1.23035852</v>
      </c>
      <c r="BP30" s="34">
        <v>1.24762142</v>
      </c>
      <c r="BQ30" s="37">
        <v>0.98674552000000004</v>
      </c>
      <c r="BR30" s="37">
        <v>0.99156120999999997</v>
      </c>
      <c r="BS30" s="31">
        <v>1.8494071023410299</v>
      </c>
      <c r="BT30" s="31">
        <v>6.7442038344682897</v>
      </c>
      <c r="BU30" s="34">
        <v>1.1880101300000001</v>
      </c>
      <c r="BV30" s="34">
        <v>1.2100868300000001</v>
      </c>
      <c r="BW30" s="37">
        <v>0.93678187000000002</v>
      </c>
      <c r="BX30" s="37">
        <v>0.95850758999999996</v>
      </c>
      <c r="BY30" s="31">
        <v>0.70675795521963103</v>
      </c>
      <c r="BZ30" s="31">
        <v>2.7041918779889902</v>
      </c>
      <c r="CA30" s="34">
        <v>0.84033186999999998</v>
      </c>
      <c r="CB30" s="34">
        <v>0.81177414999999997</v>
      </c>
      <c r="CC30" s="37">
        <v>0.50040456</v>
      </c>
      <c r="CD30" s="95">
        <v>0.45873199999999997</v>
      </c>
      <c r="CE30" s="99" t="s">
        <v>55</v>
      </c>
    </row>
    <row r="31" spans="1:83" s="7" customFormat="1" ht="35.25" customHeight="1">
      <c r="A31" s="120"/>
      <c r="B31" s="120"/>
      <c r="C31" s="81" t="s">
        <v>59</v>
      </c>
      <c r="D31" s="85" t="s">
        <v>43</v>
      </c>
      <c r="E31" s="86" t="s">
        <v>38</v>
      </c>
      <c r="F31" s="124"/>
      <c r="G31" s="126"/>
      <c r="H31" s="120"/>
      <c r="I31" s="10">
        <f t="shared" si="0"/>
        <v>3.4991831302262066</v>
      </c>
      <c r="J31" s="11">
        <f t="shared" si="1"/>
        <v>0.9710890455990081</v>
      </c>
      <c r="K31" s="11">
        <f t="shared" si="5"/>
        <v>55.639303844210318</v>
      </c>
      <c r="L31" s="12">
        <f t="shared" si="2"/>
        <v>0.67944329874999998</v>
      </c>
      <c r="M31" s="12">
        <f t="shared" si="6"/>
        <v>38.92923343682132</v>
      </c>
      <c r="O31" s="30" t="e">
        <f t="shared" si="7"/>
        <v>#DIV/0!</v>
      </c>
      <c r="P31" s="33" t="e">
        <f t="shared" si="8"/>
        <v>#DIV/0!</v>
      </c>
      <c r="Q31" s="33" t="e">
        <f t="shared" si="9"/>
        <v>#DIV/0!</v>
      </c>
      <c r="R31" s="36" t="e">
        <f t="shared" si="10"/>
        <v>#DIV/0!</v>
      </c>
      <c r="S31" s="36" t="e">
        <f t="shared" si="11"/>
        <v>#DIV/0!</v>
      </c>
      <c r="T31" s="16"/>
      <c r="U31" s="58">
        <f t="shared" si="12"/>
        <v>29.556651631913152</v>
      </c>
      <c r="V31" s="55">
        <f t="shared" si="3"/>
        <v>135.89929773658881</v>
      </c>
      <c r="W31" s="25">
        <f t="shared" si="4"/>
        <v>55.95306218705467</v>
      </c>
      <c r="X31" s="24"/>
      <c r="Y31" s="53">
        <f>(I31-I30)/I30*100</f>
        <v>1.7454446321050043</v>
      </c>
      <c r="Z31" s="51">
        <f>(K31-K30)/K30 *100</f>
        <v>-7.2595820241204114</v>
      </c>
      <c r="AA31" s="27">
        <f>(M31-M30)/M30 *100</f>
        <v>-18.682457581295296</v>
      </c>
      <c r="AB31" s="41"/>
      <c r="AC31" s="25" t="e">
        <f t="shared" si="13"/>
        <v>#DIV/0!</v>
      </c>
      <c r="AD31" s="25" t="e">
        <f t="shared" si="14"/>
        <v>#DIV/0!</v>
      </c>
      <c r="AE31" s="25" t="e">
        <f t="shared" si="15"/>
        <v>#DIV/0!</v>
      </c>
      <c r="AF31" s="9"/>
      <c r="AG31" s="112" t="s">
        <v>40</v>
      </c>
      <c r="AH31" s="70">
        <v>1.2675182817472199</v>
      </c>
      <c r="AI31" s="74">
        <v>4.8709587778530103</v>
      </c>
      <c r="AJ31" s="71">
        <v>1.04344830940607</v>
      </c>
      <c r="AK31" s="71">
        <v>1.02850288290027</v>
      </c>
      <c r="AL31" s="72">
        <v>0.66898818000000004</v>
      </c>
      <c r="AM31" s="72">
        <v>0.64213666000000003</v>
      </c>
      <c r="AN31" s="70">
        <v>2.0781071730760798</v>
      </c>
      <c r="AO31" s="70">
        <v>7.6090992578976602</v>
      </c>
      <c r="AP31" s="71">
        <v>1.1211921095257</v>
      </c>
      <c r="AQ31" s="71">
        <v>1.11713315588602</v>
      </c>
      <c r="AR31" s="72">
        <v>0.90566891000000005</v>
      </c>
      <c r="AS31" s="72">
        <v>0.85334633999999998</v>
      </c>
      <c r="AT31" s="70">
        <v>1.81362536149277</v>
      </c>
      <c r="AU31" s="70">
        <v>6.5797936281814202</v>
      </c>
      <c r="AV31" s="71">
        <v>1.0009621698765301</v>
      </c>
      <c r="AW31" s="71">
        <v>0.98353823636452897</v>
      </c>
      <c r="AX31" s="72">
        <v>0.71483377999999997</v>
      </c>
      <c r="AY31" s="72">
        <v>0.68419662999999997</v>
      </c>
      <c r="AZ31" s="70">
        <v>0.78075667063552201</v>
      </c>
      <c r="BA31" s="70">
        <v>2.99360589092597</v>
      </c>
      <c r="BB31" s="71">
        <v>0.73993440964098101</v>
      </c>
      <c r="BC31" s="71">
        <v>0.73400109119196399</v>
      </c>
      <c r="BD31" s="72">
        <v>0.48793326999999997</v>
      </c>
      <c r="BE31" s="72">
        <v>0.47844261999999999</v>
      </c>
      <c r="BG31" s="31"/>
      <c r="BH31" s="31"/>
      <c r="BI31" s="34"/>
      <c r="BJ31" s="34"/>
      <c r="BK31" s="37"/>
      <c r="BL31" s="37"/>
      <c r="BM31" s="31"/>
      <c r="BN31" s="31"/>
      <c r="BO31" s="34"/>
      <c r="BP31" s="34"/>
      <c r="BQ31" s="37"/>
      <c r="BR31" s="37"/>
      <c r="BS31" s="31"/>
      <c r="BT31" s="31"/>
      <c r="BU31" s="34"/>
      <c r="BV31" s="34"/>
      <c r="BW31" s="37"/>
      <c r="BX31" s="37"/>
      <c r="BY31" s="31"/>
      <c r="BZ31" s="31"/>
      <c r="CA31" s="34"/>
      <c r="CB31" s="34"/>
      <c r="CC31" s="37"/>
      <c r="CD31" s="95"/>
      <c r="CE31" s="97"/>
    </row>
    <row r="32" spans="1:83" s="7" customFormat="1" ht="35.25" customHeight="1">
      <c r="A32" s="120"/>
      <c r="B32" s="120"/>
      <c r="C32" s="82" t="s">
        <v>58</v>
      </c>
      <c r="D32" s="83" t="s">
        <v>38</v>
      </c>
      <c r="E32" s="87" t="s">
        <v>45</v>
      </c>
      <c r="F32" s="128" t="s">
        <v>36</v>
      </c>
      <c r="G32" s="126"/>
      <c r="H32" s="120"/>
      <c r="I32" s="10">
        <f t="shared" si="0"/>
        <v>3.4894077717412628</v>
      </c>
      <c r="J32" s="11">
        <f t="shared" si="1"/>
        <v>1.0869481124618234</v>
      </c>
      <c r="K32" s="11">
        <f t="shared" si="5"/>
        <v>62.277539393773644</v>
      </c>
      <c r="L32" s="12">
        <f t="shared" si="2"/>
        <v>0.93929478875000005</v>
      </c>
      <c r="M32" s="12">
        <f t="shared" si="6"/>
        <v>53.817627114007244</v>
      </c>
      <c r="O32" s="30">
        <f t="shared" si="7"/>
        <v>3.5374343088560423</v>
      </c>
      <c r="P32" s="33">
        <f t="shared" si="8"/>
        <v>1.13510983</v>
      </c>
      <c r="Q32" s="33">
        <f t="shared" si="9"/>
        <v>65.03700254281236</v>
      </c>
      <c r="R32" s="36">
        <f t="shared" si="10"/>
        <v>0.87443164750000002</v>
      </c>
      <c r="S32" s="36">
        <f t="shared" si="11"/>
        <v>50.101242874421324</v>
      </c>
      <c r="T32" s="16"/>
      <c r="U32" s="58">
        <f t="shared" si="12"/>
        <v>29.194720670692192</v>
      </c>
      <c r="V32" s="55">
        <f t="shared" si="3"/>
        <v>164.04406224939993</v>
      </c>
      <c r="W32" s="25">
        <f t="shared" si="4"/>
        <v>115.59694366167321</v>
      </c>
      <c r="X32" s="24"/>
      <c r="Y32" s="53"/>
      <c r="Z32" s="49"/>
      <c r="AA32" s="26"/>
      <c r="AB32" s="39"/>
      <c r="AC32" s="25">
        <f t="shared" si="13"/>
        <v>1.3763520991647686</v>
      </c>
      <c r="AD32" s="25">
        <f t="shared" si="14"/>
        <v>4.4309122934208283</v>
      </c>
      <c r="AE32" s="25">
        <f t="shared" si="15"/>
        <v>-6.9055148635838837</v>
      </c>
      <c r="AF32" s="9"/>
      <c r="AG32" s="112" t="s">
        <v>40</v>
      </c>
      <c r="AH32" s="70">
        <v>1.2412092786515201</v>
      </c>
      <c r="AI32" s="74">
        <v>4.8041428864292701</v>
      </c>
      <c r="AJ32" s="71">
        <v>1.0580749735917201</v>
      </c>
      <c r="AK32" s="71">
        <v>1.10290733374911</v>
      </c>
      <c r="AL32" s="72">
        <v>0.93175911</v>
      </c>
      <c r="AM32" s="72">
        <v>0.91744678000000002</v>
      </c>
      <c r="AN32" s="70">
        <v>2.09089894228861</v>
      </c>
      <c r="AO32" s="70">
        <v>7.6654437799620103</v>
      </c>
      <c r="AP32" s="71">
        <v>1.1668630293289799</v>
      </c>
      <c r="AQ32" s="71">
        <v>1.17519915786903</v>
      </c>
      <c r="AR32" s="72">
        <v>1.11662295</v>
      </c>
      <c r="AS32" s="72">
        <v>1.1013207700000001</v>
      </c>
      <c r="AT32" s="70">
        <v>1.84423499920311</v>
      </c>
      <c r="AU32" s="70">
        <v>6.7114980830115103</v>
      </c>
      <c r="AV32" s="71">
        <v>1.17386520861683</v>
      </c>
      <c r="AW32" s="71">
        <v>1.1917160555131501</v>
      </c>
      <c r="AX32" s="72">
        <v>1.0394825299999999</v>
      </c>
      <c r="AY32" s="72">
        <v>1.04557487</v>
      </c>
      <c r="AZ32" s="70">
        <v>0.73390322712067002</v>
      </c>
      <c r="BA32" s="70">
        <v>2.8239309772633998</v>
      </c>
      <c r="BB32" s="71">
        <v>0.91852926749977404</v>
      </c>
      <c r="BC32" s="71">
        <v>0.90842987352599502</v>
      </c>
      <c r="BD32" s="72">
        <v>0.64849195000000004</v>
      </c>
      <c r="BE32" s="72">
        <v>0.71365935000000003</v>
      </c>
      <c r="BG32" s="31">
        <v>1.26006876908462</v>
      </c>
      <c r="BH32" s="31">
        <v>4.8722808611967796</v>
      </c>
      <c r="BI32" s="34">
        <v>1.09722213</v>
      </c>
      <c r="BJ32" s="34">
        <v>1.13326437</v>
      </c>
      <c r="BK32" s="37">
        <v>0.89087530999999998</v>
      </c>
      <c r="BL32" s="37">
        <v>0.88535781999999996</v>
      </c>
      <c r="BM32" s="31">
        <v>2.0991261695496202</v>
      </c>
      <c r="BN32" s="31">
        <v>7.7051021915166098</v>
      </c>
      <c r="BO32" s="34">
        <v>1.17012805</v>
      </c>
      <c r="BP32" s="34">
        <v>1.181743</v>
      </c>
      <c r="BQ32" s="37">
        <v>1.0173759</v>
      </c>
      <c r="BR32" s="37">
        <v>1.0200007200000001</v>
      </c>
      <c r="BS32" s="31">
        <v>1.85411372799492</v>
      </c>
      <c r="BT32" s="31">
        <v>6.7587332989751898</v>
      </c>
      <c r="BU32" s="34">
        <v>1.20469684</v>
      </c>
      <c r="BV32" s="34">
        <v>1.2242781300000001</v>
      </c>
      <c r="BW32" s="37">
        <v>0.98604272999999998</v>
      </c>
      <c r="BX32" s="37">
        <v>0.99311998999999995</v>
      </c>
      <c r="BY32" s="31">
        <v>0.77144730354288704</v>
      </c>
      <c r="BZ32" s="31">
        <v>2.9786021489877101</v>
      </c>
      <c r="CA32" s="34">
        <v>1.0349014400000001</v>
      </c>
      <c r="CB32" s="34">
        <v>1.03464468</v>
      </c>
      <c r="CC32" s="37">
        <v>0.60559790000000002</v>
      </c>
      <c r="CD32" s="95">
        <v>0.59708280999999996</v>
      </c>
      <c r="CE32" s="99" t="s">
        <v>55</v>
      </c>
    </row>
    <row r="33" spans="1:83" s="7" customFormat="1" ht="35.25" customHeight="1">
      <c r="A33" s="120"/>
      <c r="B33" s="120"/>
      <c r="C33" s="82" t="s">
        <v>59</v>
      </c>
      <c r="D33" s="85" t="s">
        <v>43</v>
      </c>
      <c r="E33" s="87" t="s">
        <v>45</v>
      </c>
      <c r="F33" s="129"/>
      <c r="G33" s="126"/>
      <c r="H33" s="120"/>
      <c r="I33" s="10" t="e">
        <f t="shared" si="0"/>
        <v>#DIV/0!</v>
      </c>
      <c r="J33" s="11" t="e">
        <f t="shared" si="1"/>
        <v>#DIV/0!</v>
      </c>
      <c r="K33" s="11" t="e">
        <f t="shared" si="5"/>
        <v>#DIV/0!</v>
      </c>
      <c r="L33" s="12" t="e">
        <f t="shared" si="2"/>
        <v>#DIV/0!</v>
      </c>
      <c r="M33" s="12" t="e">
        <f t="shared" si="6"/>
        <v>#DIV/0!</v>
      </c>
      <c r="O33" s="30" t="e">
        <f t="shared" si="7"/>
        <v>#DIV/0!</v>
      </c>
      <c r="P33" s="33" t="e">
        <f t="shared" si="8"/>
        <v>#DIV/0!</v>
      </c>
      <c r="Q33" s="33" t="e">
        <f t="shared" si="9"/>
        <v>#DIV/0!</v>
      </c>
      <c r="R33" s="36" t="e">
        <f t="shared" si="10"/>
        <v>#DIV/0!</v>
      </c>
      <c r="S33" s="36" t="e">
        <f t="shared" si="11"/>
        <v>#DIV/0!</v>
      </c>
      <c r="T33" s="16"/>
      <c r="U33" s="58" t="e">
        <f t="shared" si="12"/>
        <v>#DIV/0!</v>
      </c>
      <c r="V33" s="55" t="e">
        <f t="shared" si="3"/>
        <v>#DIV/0!</v>
      </c>
      <c r="W33" s="25" t="e">
        <f t="shared" si="4"/>
        <v>#DIV/0!</v>
      </c>
      <c r="X33" s="24"/>
      <c r="Y33" s="53" t="e">
        <f>(I33-I32)/I32*100</f>
        <v>#DIV/0!</v>
      </c>
      <c r="Z33" s="51" t="e">
        <f>(K33-K32)/K32 *100</f>
        <v>#DIV/0!</v>
      </c>
      <c r="AA33" s="27" t="e">
        <f>(M33-M32)/M32 *100</f>
        <v>#DIV/0!</v>
      </c>
      <c r="AB33" s="41"/>
      <c r="AC33" s="25" t="e">
        <f t="shared" si="13"/>
        <v>#DIV/0!</v>
      </c>
      <c r="AD33" s="25" t="e">
        <f t="shared" si="14"/>
        <v>#DIV/0!</v>
      </c>
      <c r="AE33" s="25" t="e">
        <f t="shared" si="15"/>
        <v>#DIV/0!</v>
      </c>
      <c r="AF33" s="9"/>
      <c r="AG33" s="112" t="s">
        <v>40</v>
      </c>
      <c r="AH33" s="70"/>
      <c r="AI33" s="74"/>
      <c r="AJ33" s="71"/>
      <c r="AK33" s="71"/>
      <c r="AL33" s="72"/>
      <c r="AM33" s="72"/>
      <c r="AN33" s="70"/>
      <c r="AO33" s="70"/>
      <c r="AP33" s="71"/>
      <c r="AQ33" s="71"/>
      <c r="AR33" s="72"/>
      <c r="AS33" s="72"/>
      <c r="AT33" s="70"/>
      <c r="AU33" s="70"/>
      <c r="AV33" s="71"/>
      <c r="AW33" s="71"/>
      <c r="AX33" s="72"/>
      <c r="AY33" s="72"/>
      <c r="AZ33" s="70"/>
      <c r="BA33" s="70"/>
      <c r="BB33" s="71"/>
      <c r="BC33" s="71"/>
      <c r="BD33" s="72"/>
      <c r="BE33" s="72"/>
      <c r="BG33" s="31"/>
      <c r="BH33" s="31"/>
      <c r="BI33" s="34"/>
      <c r="BJ33" s="34"/>
      <c r="BK33" s="37"/>
      <c r="BL33" s="37"/>
      <c r="BM33" s="31"/>
      <c r="BN33" s="31"/>
      <c r="BO33" s="34"/>
      <c r="BP33" s="34"/>
      <c r="BQ33" s="37"/>
      <c r="BR33" s="37"/>
      <c r="BS33" s="31"/>
      <c r="BT33" s="31"/>
      <c r="BU33" s="34"/>
      <c r="BV33" s="34"/>
      <c r="BW33" s="37"/>
      <c r="BX33" s="37"/>
      <c r="BY33" s="31"/>
      <c r="BZ33" s="31"/>
      <c r="CA33" s="34"/>
      <c r="CB33" s="34"/>
      <c r="CC33" s="37"/>
      <c r="CD33" s="95"/>
      <c r="CE33" s="97"/>
    </row>
    <row r="34" spans="1:83" s="7" customFormat="1" ht="35.25" customHeight="1">
      <c r="A34" s="120"/>
      <c r="B34" s="120"/>
      <c r="C34" s="82" t="s">
        <v>58</v>
      </c>
      <c r="D34" s="83" t="s">
        <v>38</v>
      </c>
      <c r="E34" s="87" t="s">
        <v>45</v>
      </c>
      <c r="F34" s="128" t="s">
        <v>47</v>
      </c>
      <c r="G34" s="126"/>
      <c r="H34" s="120"/>
      <c r="I34" s="10">
        <f t="shared" si="0"/>
        <v>3.6477327043285674</v>
      </c>
      <c r="J34" s="11">
        <f t="shared" si="1"/>
        <v>1.2568445564356552</v>
      </c>
      <c r="K34" s="11">
        <f t="shared" si="5"/>
        <v>72.011888587755053</v>
      </c>
      <c r="L34" s="12">
        <f t="shared" si="2"/>
        <v>1.1166566637499999</v>
      </c>
      <c r="M34" s="12">
        <f t="shared" si="6"/>
        <v>63.9797139980341</v>
      </c>
      <c r="O34" s="30">
        <f t="shared" si="7"/>
        <v>3.7081166330511541</v>
      </c>
      <c r="P34" s="33">
        <f t="shared" si="8"/>
        <v>1.3259989087499999</v>
      </c>
      <c r="Q34" s="33">
        <f t="shared" si="9"/>
        <v>75.974141110327764</v>
      </c>
      <c r="R34" s="36">
        <f t="shared" si="10"/>
        <v>1.0598708862500001</v>
      </c>
      <c r="S34" s="36">
        <f t="shared" si="11"/>
        <v>60.726128610915161</v>
      </c>
      <c r="T34" s="16"/>
      <c r="U34" s="58">
        <f t="shared" si="12"/>
        <v>35.056673981644956</v>
      </c>
      <c r="V34" s="55">
        <f t="shared" si="3"/>
        <v>205.31571699929833</v>
      </c>
      <c r="W34" s="25">
        <f t="shared" si="4"/>
        <v>156.3069301644102</v>
      </c>
      <c r="X34" s="24"/>
      <c r="Y34" s="53"/>
      <c r="Z34" s="49"/>
      <c r="AA34" s="26"/>
      <c r="AB34" s="39"/>
      <c r="AC34" s="25">
        <f t="shared" si="13"/>
        <v>1.6553824969393272</v>
      </c>
      <c r="AD34" s="25">
        <f t="shared" si="14"/>
        <v>5.5022199810024919</v>
      </c>
      <c r="AE34" s="25">
        <f t="shared" si="15"/>
        <v>-5.0853390610950706</v>
      </c>
      <c r="AF34" s="9"/>
      <c r="AG34" s="112" t="s">
        <v>40</v>
      </c>
      <c r="AH34" s="70">
        <v>1.2782067762321001</v>
      </c>
      <c r="AI34" s="74">
        <v>4.9427694031087404</v>
      </c>
      <c r="AJ34" s="71">
        <v>1.17134366352681</v>
      </c>
      <c r="AK34" s="71">
        <v>1.21984548248057</v>
      </c>
      <c r="AL34" s="72">
        <v>1.02571046</v>
      </c>
      <c r="AM34" s="72">
        <v>1.0157879400000001</v>
      </c>
      <c r="AN34" s="70">
        <v>2.1214745793254899</v>
      </c>
      <c r="AO34" s="70">
        <v>7.7925483894375702</v>
      </c>
      <c r="AP34" s="71">
        <v>1.2489903801355899</v>
      </c>
      <c r="AQ34" s="71">
        <v>1.26461226390852</v>
      </c>
      <c r="AR34" s="72">
        <v>1.1248689000000001</v>
      </c>
      <c r="AS34" s="72">
        <v>1.11809637</v>
      </c>
      <c r="AT34" s="70">
        <v>1.8776646179247101</v>
      </c>
      <c r="AU34" s="70">
        <v>6.8684767599468701</v>
      </c>
      <c r="AV34" s="71">
        <v>1.2617590790072</v>
      </c>
      <c r="AW34" s="71">
        <v>1.30397195499415</v>
      </c>
      <c r="AX34" s="72">
        <v>1.0632408099999999</v>
      </c>
      <c r="AY34" s="72">
        <v>1.0623918800000001</v>
      </c>
      <c r="AZ34" s="70">
        <v>0.87529042286575498</v>
      </c>
      <c r="BA34" s="70">
        <v>3.4254306857872998</v>
      </c>
      <c r="BB34" s="71">
        <v>1.2874850308563</v>
      </c>
      <c r="BC34" s="71">
        <v>1.2967485965761001</v>
      </c>
      <c r="BD34" s="72">
        <v>1.24522468</v>
      </c>
      <c r="BE34" s="72">
        <v>1.27793227</v>
      </c>
      <c r="BG34" s="31">
        <v>1.31378137525927</v>
      </c>
      <c r="BH34" s="31">
        <v>5.0950622963780603</v>
      </c>
      <c r="BI34" s="34">
        <v>1.2555977300000001</v>
      </c>
      <c r="BJ34" s="34">
        <v>1.3017738400000001</v>
      </c>
      <c r="BK34" s="37">
        <v>1.0398261099999999</v>
      </c>
      <c r="BL34" s="37">
        <v>1.0403722099999999</v>
      </c>
      <c r="BM34" s="31">
        <v>2.1501239242407402</v>
      </c>
      <c r="BN34" s="31">
        <v>7.9309043347485</v>
      </c>
      <c r="BO34" s="34">
        <v>1.3217611199999999</v>
      </c>
      <c r="BP34" s="34">
        <v>1.3313559399999999</v>
      </c>
      <c r="BQ34" s="37">
        <v>1.1224537299999999</v>
      </c>
      <c r="BR34" s="37">
        <v>1.10701804</v>
      </c>
      <c r="BS34" s="31">
        <v>1.8892394340916401</v>
      </c>
      <c r="BT34" s="31">
        <v>6.9125313597623101</v>
      </c>
      <c r="BU34" s="34">
        <v>1.31126644</v>
      </c>
      <c r="BV34" s="34">
        <v>1.3428743299999999</v>
      </c>
      <c r="BW34" s="37">
        <v>1.0462183599999999</v>
      </c>
      <c r="BX34" s="37">
        <v>1.0357827500000001</v>
      </c>
      <c r="BY34" s="31">
        <v>0.89285194545650504</v>
      </c>
      <c r="BZ34" s="31">
        <v>3.4804383944722099</v>
      </c>
      <c r="CA34" s="34">
        <v>1.3636518799999999</v>
      </c>
      <c r="CB34" s="34">
        <v>1.3797099900000001</v>
      </c>
      <c r="CC34" s="37">
        <v>1.0305715600000001</v>
      </c>
      <c r="CD34" s="95">
        <v>1.05672433</v>
      </c>
      <c r="CE34" s="99" t="s">
        <v>55</v>
      </c>
    </row>
    <row r="35" spans="1:83" s="7" customFormat="1" ht="35.25" customHeight="1">
      <c r="A35" s="120"/>
      <c r="B35" s="120"/>
      <c r="C35" s="82" t="s">
        <v>59</v>
      </c>
      <c r="D35" s="85" t="s">
        <v>43</v>
      </c>
      <c r="E35" s="87" t="s">
        <v>45</v>
      </c>
      <c r="F35" s="129"/>
      <c r="G35" s="126"/>
      <c r="H35" s="120"/>
      <c r="I35" s="10" t="e">
        <f t="shared" si="0"/>
        <v>#DIV/0!</v>
      </c>
      <c r="J35" s="11" t="e">
        <f t="shared" si="1"/>
        <v>#DIV/0!</v>
      </c>
      <c r="K35" s="11" t="e">
        <f t="shared" si="5"/>
        <v>#DIV/0!</v>
      </c>
      <c r="L35" s="12" t="e">
        <f t="shared" si="2"/>
        <v>#DIV/0!</v>
      </c>
      <c r="M35" s="12" t="e">
        <f t="shared" si="6"/>
        <v>#DIV/0!</v>
      </c>
      <c r="O35" s="30" t="e">
        <f t="shared" si="7"/>
        <v>#DIV/0!</v>
      </c>
      <c r="P35" s="33" t="e">
        <f t="shared" si="8"/>
        <v>#DIV/0!</v>
      </c>
      <c r="Q35" s="33" t="e">
        <f t="shared" si="9"/>
        <v>#DIV/0!</v>
      </c>
      <c r="R35" s="36" t="e">
        <f t="shared" si="10"/>
        <v>#DIV/0!</v>
      </c>
      <c r="S35" s="36" t="e">
        <f t="shared" si="11"/>
        <v>#DIV/0!</v>
      </c>
      <c r="T35" s="16"/>
      <c r="U35" s="58" t="e">
        <f t="shared" si="12"/>
        <v>#DIV/0!</v>
      </c>
      <c r="V35" s="55" t="e">
        <f t="shared" si="3"/>
        <v>#DIV/0!</v>
      </c>
      <c r="W35" s="25" t="e">
        <f t="shared" si="4"/>
        <v>#DIV/0!</v>
      </c>
      <c r="X35" s="24"/>
      <c r="Y35" s="53" t="e">
        <f>(I35-I34)/I34*100</f>
        <v>#DIV/0!</v>
      </c>
      <c r="Z35" s="51" t="e">
        <f>(K35-K34)/K34 *100</f>
        <v>#DIV/0!</v>
      </c>
      <c r="AA35" s="27" t="e">
        <f>(M35-M34)/M34 *100</f>
        <v>#DIV/0!</v>
      </c>
      <c r="AB35" s="41"/>
      <c r="AC35" s="25" t="e">
        <f t="shared" si="13"/>
        <v>#DIV/0!</v>
      </c>
      <c r="AD35" s="25" t="e">
        <f t="shared" si="14"/>
        <v>#DIV/0!</v>
      </c>
      <c r="AE35" s="25" t="e">
        <f t="shared" si="15"/>
        <v>#DIV/0!</v>
      </c>
      <c r="AF35" s="9"/>
      <c r="AG35" s="112" t="s">
        <v>40</v>
      </c>
      <c r="AH35" s="70"/>
      <c r="AI35" s="74"/>
      <c r="AJ35" s="71"/>
      <c r="AK35" s="71"/>
      <c r="AL35" s="72"/>
      <c r="AM35" s="72"/>
      <c r="AN35" s="70"/>
      <c r="AO35" s="70"/>
      <c r="AP35" s="71"/>
      <c r="AQ35" s="71"/>
      <c r="AR35" s="72"/>
      <c r="AS35" s="72"/>
      <c r="AT35" s="70"/>
      <c r="AU35" s="70"/>
      <c r="AV35" s="71"/>
      <c r="AW35" s="71"/>
      <c r="AX35" s="72"/>
      <c r="AY35" s="72"/>
      <c r="AZ35" s="70"/>
      <c r="BA35" s="70"/>
      <c r="BB35" s="71"/>
      <c r="BC35" s="71"/>
      <c r="BD35" s="72"/>
      <c r="BE35" s="72"/>
      <c r="BG35" s="31"/>
      <c r="BH35" s="31"/>
      <c r="BI35" s="34"/>
      <c r="BJ35" s="34"/>
      <c r="BK35" s="37"/>
      <c r="BL35" s="37"/>
      <c r="BM35" s="31"/>
      <c r="BN35" s="31"/>
      <c r="BO35" s="34"/>
      <c r="BP35" s="34"/>
      <c r="BQ35" s="37"/>
      <c r="BR35" s="37"/>
      <c r="BS35" s="31"/>
      <c r="BT35" s="31"/>
      <c r="BU35" s="34"/>
      <c r="BV35" s="34"/>
      <c r="BW35" s="37"/>
      <c r="BX35" s="37"/>
      <c r="BY35" s="31"/>
      <c r="BZ35" s="31"/>
      <c r="CA35" s="34"/>
      <c r="CB35" s="34"/>
      <c r="CC35" s="37"/>
      <c r="CD35" s="95"/>
      <c r="CE35" s="97"/>
    </row>
    <row r="36" spans="1:83" s="7" customFormat="1" ht="35.25" customHeight="1">
      <c r="A36" s="120"/>
      <c r="B36" s="120"/>
      <c r="C36" s="82" t="s">
        <v>58</v>
      </c>
      <c r="D36" s="83" t="s">
        <v>38</v>
      </c>
      <c r="E36" s="87" t="s">
        <v>45</v>
      </c>
      <c r="F36" s="128" t="s">
        <v>48</v>
      </c>
      <c r="G36" s="126"/>
      <c r="H36" s="120"/>
      <c r="I36" s="10">
        <f t="shared" si="0"/>
        <v>3.7928976521753688</v>
      </c>
      <c r="J36" s="11">
        <f t="shared" si="1"/>
        <v>1.4610433794341124</v>
      </c>
      <c r="K36" s="11">
        <f t="shared" si="5"/>
        <v>83.711619327105581</v>
      </c>
      <c r="L36" s="12">
        <f t="shared" si="2"/>
        <v>1.3655712149999999</v>
      </c>
      <c r="M36" s="12">
        <f t="shared" si="6"/>
        <v>78.241467244051933</v>
      </c>
      <c r="O36" s="30">
        <f t="shared" si="7"/>
        <v>3.8103082543865803</v>
      </c>
      <c r="P36" s="33">
        <f t="shared" si="8"/>
        <v>1.4489704537499999</v>
      </c>
      <c r="Q36" s="33">
        <f t="shared" si="9"/>
        <v>83.019891639030845</v>
      </c>
      <c r="R36" s="36">
        <f t="shared" si="10"/>
        <v>1.2414342437499999</v>
      </c>
      <c r="S36" s="36">
        <f t="shared" si="11"/>
        <v>71.128942709890097</v>
      </c>
      <c r="T36" s="16"/>
      <c r="U36" s="58">
        <f t="shared" si="12"/>
        <v>40.431381128263219</v>
      </c>
      <c r="V36" s="55">
        <f t="shared" si="3"/>
        <v>254.92018855860888</v>
      </c>
      <c r="W36" s="25">
        <f t="shared" si="4"/>
        <v>213.44044897572374</v>
      </c>
      <c r="X36" s="24"/>
      <c r="Y36" s="53"/>
      <c r="Z36" s="49"/>
      <c r="AA36" s="26"/>
      <c r="AB36" s="39"/>
      <c r="AC36" s="25">
        <f t="shared" si="13"/>
        <v>0.45903169048671427</v>
      </c>
      <c r="AD36" s="25">
        <f t="shared" si="14"/>
        <v>-0.82632219234917581</v>
      </c>
      <c r="AE36" s="25">
        <f t="shared" si="15"/>
        <v>-9.0904794921295959</v>
      </c>
      <c r="AF36" s="9"/>
      <c r="AG36" s="112" t="s">
        <v>40</v>
      </c>
      <c r="AH36" s="70">
        <v>1.3381791065611499</v>
      </c>
      <c r="AI36" s="74">
        <v>5.1830905406641303</v>
      </c>
      <c r="AJ36" s="71">
        <v>1.34533386844057</v>
      </c>
      <c r="AK36" s="71">
        <v>1.4107272398519799</v>
      </c>
      <c r="AL36" s="72">
        <v>1.1776963600000001</v>
      </c>
      <c r="AM36" s="72">
        <v>1.1993197200000001</v>
      </c>
      <c r="AN36" s="70">
        <v>2.1861367102218199</v>
      </c>
      <c r="AO36" s="70">
        <v>8.0379203226614901</v>
      </c>
      <c r="AP36" s="71">
        <v>1.5992503034883301</v>
      </c>
      <c r="AQ36" s="71">
        <v>1.61347698580614</v>
      </c>
      <c r="AR36" s="72">
        <v>1.5666586199999999</v>
      </c>
      <c r="AS36" s="72">
        <v>1.5793126900000001</v>
      </c>
      <c r="AT36" s="70">
        <v>1.88776834496702</v>
      </c>
      <c r="AU36" s="70">
        <v>6.9316535046381196</v>
      </c>
      <c r="AV36" s="71">
        <v>1.2855982527813199</v>
      </c>
      <c r="AW36" s="71">
        <v>1.35051184605375</v>
      </c>
      <c r="AX36" s="72">
        <v>1.16465258</v>
      </c>
      <c r="AY36" s="72">
        <v>1.1784946300000001</v>
      </c>
      <c r="AZ36" s="70">
        <v>0.96269423491016004</v>
      </c>
      <c r="BA36" s="70">
        <v>3.8157384527790601</v>
      </c>
      <c r="BB36" s="71">
        <v>1.5137321582348999</v>
      </c>
      <c r="BC36" s="71">
        <v>1.56971638081591</v>
      </c>
      <c r="BD36" s="72">
        <v>1.50452148</v>
      </c>
      <c r="BE36" s="72">
        <v>1.55391364</v>
      </c>
      <c r="BG36" s="31">
        <v>1.3436261142929899</v>
      </c>
      <c r="BH36" s="31">
        <v>5.1693916672147102</v>
      </c>
      <c r="BI36" s="34">
        <v>1.38344713</v>
      </c>
      <c r="BJ36" s="34">
        <v>1.4080041999999999</v>
      </c>
      <c r="BK36" s="37">
        <v>1.0658219900000001</v>
      </c>
      <c r="BL36" s="37">
        <v>1.07406691</v>
      </c>
      <c r="BM36" s="31">
        <v>2.1970107598710298</v>
      </c>
      <c r="BN36" s="31">
        <v>8.1178089977316894</v>
      </c>
      <c r="BO36" s="34">
        <v>1.4508551599999999</v>
      </c>
      <c r="BP36" s="34">
        <v>1.43833586</v>
      </c>
      <c r="BQ36" s="37">
        <v>1.3188714100000001</v>
      </c>
      <c r="BR36" s="37">
        <v>1.3269134600000001</v>
      </c>
      <c r="BS36" s="31">
        <v>1.91171107472629</v>
      </c>
      <c r="BT36" s="31">
        <v>7.0187357240876196</v>
      </c>
      <c r="BU36" s="34">
        <v>1.3675061100000001</v>
      </c>
      <c r="BV36" s="34">
        <v>1.4149999799999999</v>
      </c>
      <c r="BW36" s="37">
        <v>1.1830139200000001</v>
      </c>
      <c r="BX36" s="37">
        <v>1.18558553</v>
      </c>
      <c r="BY36" s="31">
        <v>0.95829576994974397</v>
      </c>
      <c r="BZ36" s="31">
        <v>3.7658859272185699</v>
      </c>
      <c r="CA36" s="34">
        <v>1.5424866699999999</v>
      </c>
      <c r="CB36" s="34">
        <v>1.5861285199999999</v>
      </c>
      <c r="CC36" s="37">
        <v>1.41468814</v>
      </c>
      <c r="CD36" s="95">
        <v>1.3625125899999999</v>
      </c>
      <c r="CE36" s="97" t="s">
        <v>55</v>
      </c>
    </row>
    <row r="37" spans="1:83" s="7" customFormat="1" ht="35.25" customHeight="1">
      <c r="A37" s="121"/>
      <c r="B37" s="121"/>
      <c r="C37" s="82" t="s">
        <v>59</v>
      </c>
      <c r="D37" s="85" t="s">
        <v>43</v>
      </c>
      <c r="E37" s="87" t="s">
        <v>45</v>
      </c>
      <c r="F37" s="129"/>
      <c r="G37" s="127"/>
      <c r="H37" s="121"/>
      <c r="I37" s="10" t="e">
        <f t="shared" si="0"/>
        <v>#DIV/0!</v>
      </c>
      <c r="J37" s="11" t="e">
        <f t="shared" si="1"/>
        <v>#DIV/0!</v>
      </c>
      <c r="K37" s="11" t="e">
        <f t="shared" si="5"/>
        <v>#DIV/0!</v>
      </c>
      <c r="L37" s="12" t="e">
        <f t="shared" si="2"/>
        <v>#DIV/0!</v>
      </c>
      <c r="M37" s="12" t="e">
        <f t="shared" si="6"/>
        <v>#DIV/0!</v>
      </c>
      <c r="O37" s="30" t="e">
        <f t="shared" si="7"/>
        <v>#DIV/0!</v>
      </c>
      <c r="P37" s="33" t="e">
        <f t="shared" si="8"/>
        <v>#DIV/0!</v>
      </c>
      <c r="Q37" s="33" t="e">
        <f t="shared" si="9"/>
        <v>#DIV/0!</v>
      </c>
      <c r="R37" s="36" t="e">
        <f t="shared" si="10"/>
        <v>#DIV/0!</v>
      </c>
      <c r="S37" s="36" t="e">
        <f t="shared" si="11"/>
        <v>#DIV/0!</v>
      </c>
      <c r="T37" s="16"/>
      <c r="U37" s="58" t="e">
        <f t="shared" si="12"/>
        <v>#DIV/0!</v>
      </c>
      <c r="V37" s="55" t="e">
        <f t="shared" si="3"/>
        <v>#DIV/0!</v>
      </c>
      <c r="W37" s="25" t="e">
        <f t="shared" si="4"/>
        <v>#DIV/0!</v>
      </c>
      <c r="X37" s="24"/>
      <c r="Y37" s="53" t="e">
        <f>(I37-I36)/I36*100</f>
        <v>#DIV/0!</v>
      </c>
      <c r="Z37" s="51" t="e">
        <f>(K37-K36)/K36 *100</f>
        <v>#DIV/0!</v>
      </c>
      <c r="AA37" s="27" t="e">
        <f>(M37-M36)/M36 *100</f>
        <v>#DIV/0!</v>
      </c>
      <c r="AB37" s="41"/>
      <c r="AC37" s="25" t="e">
        <f t="shared" si="13"/>
        <v>#DIV/0!</v>
      </c>
      <c r="AD37" s="25" t="e">
        <f t="shared" si="14"/>
        <v>#DIV/0!</v>
      </c>
      <c r="AE37" s="25" t="e">
        <f t="shared" si="15"/>
        <v>#DIV/0!</v>
      </c>
      <c r="AF37" s="9"/>
      <c r="AG37" s="112" t="s">
        <v>40</v>
      </c>
      <c r="AH37" s="70"/>
      <c r="AI37" s="74"/>
      <c r="AJ37" s="71"/>
      <c r="AK37" s="71"/>
      <c r="AL37" s="72"/>
      <c r="AM37" s="72"/>
      <c r="AN37" s="70"/>
      <c r="AO37" s="70"/>
      <c r="AP37" s="71"/>
      <c r="AQ37" s="71"/>
      <c r="AR37" s="72"/>
      <c r="AS37" s="72"/>
      <c r="AT37" s="70"/>
      <c r="AU37" s="70"/>
      <c r="AV37" s="71"/>
      <c r="AW37" s="71"/>
      <c r="AX37" s="72"/>
      <c r="AY37" s="72"/>
      <c r="AZ37" s="70"/>
      <c r="BA37" s="70"/>
      <c r="BB37" s="71"/>
      <c r="BC37" s="71"/>
      <c r="BD37" s="72"/>
      <c r="BE37" s="72"/>
      <c r="BG37" s="31"/>
      <c r="BH37" s="31"/>
      <c r="BI37" s="34"/>
      <c r="BJ37" s="34"/>
      <c r="BK37" s="37"/>
      <c r="BL37" s="37"/>
      <c r="BM37" s="31"/>
      <c r="BN37" s="31"/>
      <c r="BO37" s="34"/>
      <c r="BP37" s="34"/>
      <c r="BQ37" s="37"/>
      <c r="BR37" s="37"/>
      <c r="BS37" s="31"/>
      <c r="BT37" s="31"/>
      <c r="BU37" s="34"/>
      <c r="BV37" s="34"/>
      <c r="BW37" s="37"/>
      <c r="BX37" s="37"/>
      <c r="BY37" s="31"/>
      <c r="BZ37" s="31"/>
      <c r="CA37" s="34"/>
      <c r="CB37" s="34"/>
      <c r="CC37" s="37"/>
      <c r="CD37" s="95"/>
      <c r="CE37" s="97"/>
    </row>
    <row r="38" spans="1:83" s="7" customFormat="1" ht="35.25" customHeight="1">
      <c r="C38" s="79"/>
      <c r="I38" s="14"/>
      <c r="J38" s="14"/>
      <c r="K38" s="14"/>
      <c r="L38" s="14"/>
      <c r="M38" s="14"/>
      <c r="N38" s="6"/>
      <c r="O38" s="14"/>
      <c r="P38" s="14"/>
      <c r="Q38" s="14"/>
      <c r="R38" s="14"/>
      <c r="S38" s="14"/>
      <c r="T38" s="16"/>
      <c r="U38" s="59"/>
      <c r="V38" s="19"/>
      <c r="W38" s="19"/>
      <c r="X38" s="19"/>
      <c r="Y38" s="54"/>
      <c r="Z38" s="20"/>
      <c r="AA38" s="20"/>
      <c r="AB38" s="20"/>
      <c r="AC38" s="19"/>
      <c r="AD38" s="19"/>
      <c r="AE38" s="19"/>
      <c r="AH38" s="79"/>
      <c r="AI38" s="79"/>
      <c r="AJ38" s="79"/>
      <c r="AK38" s="79"/>
      <c r="AL38" s="79"/>
      <c r="AM38" s="79"/>
      <c r="AN38" s="79"/>
      <c r="AO38" s="79"/>
      <c r="AP38" s="79"/>
      <c r="AQ38" s="79"/>
      <c r="AR38" s="79"/>
      <c r="AS38" s="79"/>
      <c r="AT38" s="79"/>
      <c r="AU38" s="79"/>
      <c r="AV38" s="79"/>
      <c r="AW38" s="79"/>
      <c r="AX38" s="79"/>
      <c r="AY38" s="79"/>
      <c r="AZ38" s="79"/>
      <c r="BA38" s="79"/>
      <c r="BB38" s="79"/>
      <c r="BC38" s="79"/>
      <c r="BD38" s="79"/>
      <c r="BE38" s="79"/>
      <c r="CE38" s="98"/>
    </row>
    <row r="39" spans="1:83" s="7" customFormat="1" ht="35.25" customHeight="1">
      <c r="A39" s="122" t="s">
        <v>60</v>
      </c>
      <c r="B39" s="122" t="s">
        <v>36</v>
      </c>
      <c r="C39" s="81" t="s">
        <v>61</v>
      </c>
      <c r="D39" s="83" t="s">
        <v>38</v>
      </c>
      <c r="E39" s="86" t="s">
        <v>38</v>
      </c>
      <c r="F39" s="123" t="s">
        <v>39</v>
      </c>
      <c r="G39" s="122">
        <v>32</v>
      </c>
      <c r="H39" s="125">
        <v>6</v>
      </c>
      <c r="I39" s="10">
        <f t="shared" ref="I39:I70" si="16">AVERAGE(AH39,AI39,AN39,AO39,AT39,AU39,AZ39,BA39)</f>
        <v>2.8587332432963639</v>
      </c>
      <c r="J39" s="11">
        <f t="shared" ref="J39:J70" si="17">AVERAGE(AJ39:AK39,AP39:AQ39,AV39:AW39,BB39:BC39)</f>
        <v>0.50202266632530002</v>
      </c>
      <c r="K39" s="11">
        <f>J39 * (180/PI())</f>
        <v>28.763780000344088</v>
      </c>
      <c r="L39" s="13">
        <f t="shared" ref="L39:L70" si="18">AVERAGE(AL39:AM39,AR39:AS39,AX39:AY39,BD39:BE39)</f>
        <v>0.49733152250000001</v>
      </c>
      <c r="M39" s="12">
        <f>L39 * (180/PI())</f>
        <v>28.494997258065542</v>
      </c>
      <c r="O39" s="30">
        <f>AVERAGE(BG39:BH39,BM39:BN39,BS39:BT39,BY39:BZ39)</f>
        <v>2.8997155879289758</v>
      </c>
      <c r="P39" s="33">
        <f>AVERAGE(BI39:BJ39,BO39:BP39,CA39:CB39,BU39:BV39)</f>
        <v>0.55243962749999997</v>
      </c>
      <c r="Q39" s="33">
        <f>P39* (180/PI())</f>
        <v>31.652459091529327</v>
      </c>
      <c r="R39" s="36">
        <f>AVERAGE(BK39:BL39,BQ39:BR39,BW39:BX39,CC39:CD39)</f>
        <v>0.45187063500000002</v>
      </c>
      <c r="S39" s="36">
        <f>R39* (180/PI())</f>
        <v>25.890280271396502</v>
      </c>
      <c r="T39" s="16"/>
      <c r="U39" s="58">
        <f t="shared" si="12"/>
        <v>5.8441050744244984</v>
      </c>
      <c r="V39" s="55">
        <f t="shared" ref="V39:V70" si="19">(K39-K$6)/K$6 *100</f>
        <v>21.952559315441086</v>
      </c>
      <c r="W39" s="25">
        <f t="shared" ref="W39:W70" si="20">(M39-M$6)/M$6 *100</f>
        <v>14.152827761663293</v>
      </c>
      <c r="X39" s="24"/>
      <c r="Y39" s="53"/>
      <c r="Z39" s="49"/>
      <c r="AA39" s="26"/>
      <c r="AB39" s="39"/>
      <c r="AC39" s="25">
        <f t="shared" ref="AC39:AC70" si="21">(O39-I39)/I39*100</f>
        <v>1.4335840788473047</v>
      </c>
      <c r="AD39" s="25">
        <f t="shared" ref="AD39:AD70" si="22">(Q39-K39)/K39*100</f>
        <v>10.042765906117634</v>
      </c>
      <c r="AE39" s="100">
        <f t="shared" ref="AE39:AE70" si="23">(S39-M39)/M39*100</f>
        <v>-9.1409624050122389</v>
      </c>
      <c r="AF39" s="9"/>
      <c r="AG39" s="112" t="s">
        <v>40</v>
      </c>
      <c r="AH39" s="70">
        <v>0.99006194800360003</v>
      </c>
      <c r="AI39" s="70">
        <v>3.7529667999777501</v>
      </c>
      <c r="AJ39" s="222">
        <v>0.46547384669276998</v>
      </c>
      <c r="AK39" s="71">
        <v>0.46102959433495999</v>
      </c>
      <c r="AL39" s="72">
        <v>0.39193665</v>
      </c>
      <c r="AM39" s="72">
        <v>0.39324647000000001</v>
      </c>
      <c r="AN39" s="70">
        <v>1.82268620751483</v>
      </c>
      <c r="AO39" s="70">
        <v>6.5058267700146102</v>
      </c>
      <c r="AP39" s="71">
        <v>0.66271660748343997</v>
      </c>
      <c r="AQ39" s="71">
        <v>0.63924948440298002</v>
      </c>
      <c r="AR39" s="72">
        <v>0.68662086</v>
      </c>
      <c r="AS39" s="72">
        <v>0.64069883000000005</v>
      </c>
      <c r="AT39" s="70">
        <v>1.5482366580735301</v>
      </c>
      <c r="AU39" s="70">
        <v>5.4589124463668197</v>
      </c>
      <c r="AV39" s="71">
        <v>0.56270035197709001</v>
      </c>
      <c r="AW39" s="71">
        <v>0.52468053627108002</v>
      </c>
      <c r="AX39" s="72">
        <v>0.59101990000000004</v>
      </c>
      <c r="AY39" s="72">
        <v>0.54701513999999996</v>
      </c>
      <c r="AZ39" s="70">
        <v>0.58381706027726998</v>
      </c>
      <c r="BA39" s="70">
        <v>2.2073580561425001</v>
      </c>
      <c r="BB39" s="71">
        <v>0.35150984608426</v>
      </c>
      <c r="BC39" s="71">
        <v>0.34882106335582003</v>
      </c>
      <c r="BD39" s="72">
        <v>0.36252564999999998</v>
      </c>
      <c r="BE39" s="72">
        <v>0.36558868</v>
      </c>
      <c r="BG39" s="31">
        <v>1.0180131889734201</v>
      </c>
      <c r="BH39" s="31">
        <v>3.8427800840525101</v>
      </c>
      <c r="BI39" s="34">
        <v>0.52067828000000005</v>
      </c>
      <c r="BJ39" s="34">
        <v>0.51228529</v>
      </c>
      <c r="BK39" s="37">
        <v>0.40093009000000002</v>
      </c>
      <c r="BL39" s="37">
        <v>0.3931965</v>
      </c>
      <c r="BM39" s="31">
        <v>1.8547610386109099</v>
      </c>
      <c r="BN39" s="31">
        <v>6.6385426119166198</v>
      </c>
      <c r="BO39" s="34">
        <v>0.70030685000000004</v>
      </c>
      <c r="BP39" s="34">
        <v>0.66565297000000001</v>
      </c>
      <c r="BQ39" s="37">
        <v>0.55219932000000005</v>
      </c>
      <c r="BR39" s="37">
        <v>0.51181650000000001</v>
      </c>
      <c r="BS39" s="31">
        <v>1.58013796513288</v>
      </c>
      <c r="BT39" s="31">
        <v>5.5916118943596498</v>
      </c>
      <c r="BU39" s="34">
        <v>0.59396367000000005</v>
      </c>
      <c r="BV39" s="34">
        <v>0.56107178000000002</v>
      </c>
      <c r="BW39" s="37">
        <v>0.39459439000000002</v>
      </c>
      <c r="BX39" s="37">
        <v>0.37473152999999998</v>
      </c>
      <c r="BY39" s="31">
        <v>0.56232509581125301</v>
      </c>
      <c r="BZ39" s="31">
        <v>2.1095528245745601</v>
      </c>
      <c r="CA39" s="34">
        <v>0.43537361000000002</v>
      </c>
      <c r="CB39" s="34">
        <v>0.43018456999999999</v>
      </c>
      <c r="CC39" s="37">
        <v>0.48321773000000001</v>
      </c>
      <c r="CD39" s="95">
        <v>0.50427902000000002</v>
      </c>
      <c r="CE39" s="99" t="s">
        <v>62</v>
      </c>
    </row>
    <row r="40" spans="1:83" s="7" customFormat="1" ht="35.25" customHeight="1">
      <c r="A40" s="120"/>
      <c r="B40" s="120"/>
      <c r="C40" s="81" t="s">
        <v>63</v>
      </c>
      <c r="D40" s="85" t="s">
        <v>43</v>
      </c>
      <c r="E40" s="86" t="s">
        <v>38</v>
      </c>
      <c r="F40" s="124"/>
      <c r="G40" s="120"/>
      <c r="H40" s="126"/>
      <c r="I40" s="10">
        <f t="shared" si="16"/>
        <v>2.7289908109613039</v>
      </c>
      <c r="J40" s="11">
        <f t="shared" si="17"/>
        <v>0.4186434176637065</v>
      </c>
      <c r="K40" s="11">
        <f t="shared" ref="K40:K70" si="24">J40 * (180/PI())</f>
        <v>23.986500953062961</v>
      </c>
      <c r="L40" s="13">
        <f t="shared" si="18"/>
        <v>0.42208097000000006</v>
      </c>
      <c r="M40" s="12">
        <f t="shared" ref="M40:M70" si="25">L40 * (180/PI())</f>
        <v>24.183458193787917</v>
      </c>
      <c r="O40" s="30" t="e">
        <f t="shared" ref="O40:O70" si="26">AVERAGE(BG40:BH40,BM40:BN40,BS40:BT40,BY40:BZ40)</f>
        <v>#DIV/0!</v>
      </c>
      <c r="P40" s="33" t="e">
        <f t="shared" ref="P40:P70" si="27">AVERAGE(BI40:BJ40,BO40:BP40,CA40:CB40,BU40:BV40)</f>
        <v>#DIV/0!</v>
      </c>
      <c r="Q40" s="33" t="e">
        <f t="shared" ref="Q40:Q70" si="28">P40* (180/PI())</f>
        <v>#DIV/0!</v>
      </c>
      <c r="R40" s="36" t="e">
        <f t="shared" ref="R40:R70" si="29">AVERAGE(BK40:BL40,BQ40:BR40,BW40:BX40,CC40:CD40)</f>
        <v>#DIV/0!</v>
      </c>
      <c r="S40" s="36" t="e">
        <f t="shared" ref="S40:S70" si="30">R40* (180/PI())</f>
        <v>#DIV/0!</v>
      </c>
      <c r="T40" s="16"/>
      <c r="U40" s="58">
        <f t="shared" si="12"/>
        <v>1.0404139035586271</v>
      </c>
      <c r="V40" s="55">
        <f t="shared" si="19"/>
        <v>1.6978707323342728</v>
      </c>
      <c r="W40" s="25">
        <f t="shared" si="20"/>
        <v>-3.1194804872120816</v>
      </c>
      <c r="X40" s="24"/>
      <c r="Y40" s="53">
        <f>(I40-I39)/I39*100</f>
        <v>-4.5384588659785505</v>
      </c>
      <c r="Z40" s="51">
        <f>(K40-K39)/K39 *100</f>
        <v>-16.608662168963807</v>
      </c>
      <c r="AA40" s="27">
        <f>(M40-M39)/M39 *100</f>
        <v>-15.130863236202764</v>
      </c>
      <c r="AB40" s="41"/>
      <c r="AC40" s="25" t="e">
        <f t="shared" si="21"/>
        <v>#DIV/0!</v>
      </c>
      <c r="AD40" s="25" t="e">
        <f t="shared" si="22"/>
        <v>#DIV/0!</v>
      </c>
      <c r="AE40" s="25" t="e">
        <f t="shared" si="23"/>
        <v>#DIV/0!</v>
      </c>
      <c r="AF40" s="9"/>
      <c r="AG40" s="112" t="s">
        <v>40</v>
      </c>
      <c r="AH40" s="70">
        <v>0.93929003258171295</v>
      </c>
      <c r="AI40" s="70">
        <v>3.5728121022393</v>
      </c>
      <c r="AJ40" s="222">
        <v>0.39985287455757301</v>
      </c>
      <c r="AK40" s="71">
        <v>0.40013958887439899</v>
      </c>
      <c r="AL40" s="72">
        <v>0.42668199000000001</v>
      </c>
      <c r="AM40" s="72">
        <v>0.44490786999999998</v>
      </c>
      <c r="AN40" s="70">
        <v>1.76486370520981</v>
      </c>
      <c r="AO40" s="70">
        <v>6.2497533279042203</v>
      </c>
      <c r="AP40" s="71">
        <v>0.54135969114021998</v>
      </c>
      <c r="AQ40" s="71">
        <v>0.49839631963928599</v>
      </c>
      <c r="AR40" s="72">
        <v>0.49776092</v>
      </c>
      <c r="AS40" s="72">
        <v>0.46074063999999998</v>
      </c>
      <c r="AT40" s="70">
        <v>1.4818871062010399</v>
      </c>
      <c r="AU40" s="70">
        <v>5.1874819261251996</v>
      </c>
      <c r="AV40" s="71">
        <v>0.47526305190502199</v>
      </c>
      <c r="AW40" s="71">
        <v>0.44188013753705901</v>
      </c>
      <c r="AX40" s="72">
        <v>0.43400673000000001</v>
      </c>
      <c r="AY40" s="72">
        <v>0.40958787000000002</v>
      </c>
      <c r="AZ40" s="70">
        <v>0.55121940474935205</v>
      </c>
      <c r="BA40" s="70">
        <v>2.0846188826797998</v>
      </c>
      <c r="BB40" s="71">
        <v>0.30383196866050399</v>
      </c>
      <c r="BC40" s="71">
        <v>0.288423708995589</v>
      </c>
      <c r="BD40" s="72">
        <v>0.34901567</v>
      </c>
      <c r="BE40" s="72">
        <v>0.35394607</v>
      </c>
      <c r="BG40" s="31"/>
      <c r="BH40" s="31"/>
      <c r="BI40" s="34"/>
      <c r="BJ40" s="34"/>
      <c r="BK40" s="37"/>
      <c r="BL40" s="37"/>
      <c r="BM40" s="31"/>
      <c r="BN40" s="31"/>
      <c r="BO40" s="34"/>
      <c r="BP40" s="34"/>
      <c r="BQ40" s="37"/>
      <c r="BR40" s="37"/>
      <c r="BS40" s="31"/>
      <c r="BT40" s="31"/>
      <c r="BU40" s="34"/>
      <c r="BV40" s="34"/>
      <c r="BW40" s="37"/>
      <c r="BX40" s="37"/>
      <c r="BY40" s="31"/>
      <c r="BZ40" s="31"/>
      <c r="CA40" s="34"/>
      <c r="CB40" s="34"/>
      <c r="CC40" s="37"/>
      <c r="CD40" s="95"/>
      <c r="CE40" s="97"/>
    </row>
    <row r="41" spans="1:83" s="7" customFormat="1" ht="35.25" customHeight="1">
      <c r="A41" s="120"/>
      <c r="B41" s="120"/>
      <c r="C41" s="82" t="s">
        <v>61</v>
      </c>
      <c r="D41" s="83" t="s">
        <v>38</v>
      </c>
      <c r="E41" s="87" t="s">
        <v>45</v>
      </c>
      <c r="F41" s="128" t="s">
        <v>36</v>
      </c>
      <c r="G41" s="120"/>
      <c r="H41" s="126"/>
      <c r="I41" s="10">
        <f t="shared" si="16"/>
        <v>3.1379656690455078</v>
      </c>
      <c r="J41" s="11">
        <f t="shared" si="17"/>
        <v>0.67942914644955454</v>
      </c>
      <c r="K41" s="11">
        <f t="shared" si="24"/>
        <v>38.928422569735396</v>
      </c>
      <c r="L41" s="13">
        <f t="shared" si="18"/>
        <v>0.76890705999999998</v>
      </c>
      <c r="M41" s="12">
        <f t="shared" si="25"/>
        <v>44.055129375812356</v>
      </c>
      <c r="O41" s="30">
        <f t="shared" si="26"/>
        <v>2.9769745262969831</v>
      </c>
      <c r="P41" s="33">
        <f t="shared" si="27"/>
        <v>0.59038764874999994</v>
      </c>
      <c r="Q41" s="33">
        <f t="shared" si="28"/>
        <v>33.82672055002709</v>
      </c>
      <c r="R41" s="36">
        <f t="shared" si="29"/>
        <v>0.52539376250000003</v>
      </c>
      <c r="S41" s="36">
        <f t="shared" si="30"/>
        <v>30.10284517374874</v>
      </c>
      <c r="T41" s="16"/>
      <c r="U41" s="58">
        <f t="shared" si="12"/>
        <v>16.182637457774565</v>
      </c>
      <c r="V41" s="55">
        <f t="shared" si="19"/>
        <v>65.048570196108443</v>
      </c>
      <c r="W41" s="25">
        <f t="shared" si="20"/>
        <v>76.487737482811355</v>
      </c>
      <c r="X41" s="24"/>
      <c r="Y41" s="53"/>
      <c r="Z41" s="49"/>
      <c r="AA41" s="26"/>
      <c r="AB41" s="39"/>
      <c r="AC41" s="25">
        <f t="shared" si="21"/>
        <v>-5.1304303401602933</v>
      </c>
      <c r="AD41" s="25">
        <f t="shared" si="22"/>
        <v>-13.105339705376567</v>
      </c>
      <c r="AE41" s="25">
        <f t="shared" si="23"/>
        <v>-31.670056131361303</v>
      </c>
      <c r="AF41" s="9"/>
      <c r="AG41" s="112" t="s">
        <v>40</v>
      </c>
      <c r="AH41" s="70">
        <v>1.13502340027407</v>
      </c>
      <c r="AI41" s="70">
        <v>4.3664089595416602</v>
      </c>
      <c r="AJ41" s="222">
        <v>0.69568855358772397</v>
      </c>
      <c r="AK41" s="71">
        <v>0.70122815754857304</v>
      </c>
      <c r="AL41" s="72">
        <v>0.83319898000000003</v>
      </c>
      <c r="AM41" s="72">
        <v>0.82296592999999996</v>
      </c>
      <c r="AN41" s="70">
        <v>1.8820961737711599</v>
      </c>
      <c r="AO41" s="70">
        <v>6.7527538470694397</v>
      </c>
      <c r="AP41" s="71">
        <v>0.75143148417827699</v>
      </c>
      <c r="AQ41" s="71">
        <v>0.74048998571668201</v>
      </c>
      <c r="AR41" s="72">
        <v>0.94469574999999995</v>
      </c>
      <c r="AS41" s="72">
        <v>0.90842942000000004</v>
      </c>
      <c r="AT41" s="70">
        <v>1.62321986302656</v>
      </c>
      <c r="AU41" s="70">
        <v>5.7960545357107902</v>
      </c>
      <c r="AV41" s="71">
        <v>0.64307043212412296</v>
      </c>
      <c r="AW41" s="71">
        <v>0.62317557232545595</v>
      </c>
      <c r="AX41" s="72">
        <v>0.86717464</v>
      </c>
      <c r="AY41" s="72">
        <v>0.83723287999999996</v>
      </c>
      <c r="AZ41" s="70">
        <v>0.73111996353342501</v>
      </c>
      <c r="BA41" s="70">
        <v>2.8170486094369598</v>
      </c>
      <c r="BB41" s="71">
        <v>0.62116077658416102</v>
      </c>
      <c r="BC41" s="71">
        <v>0.65918820953144097</v>
      </c>
      <c r="BD41" s="72">
        <v>0.46370277999999998</v>
      </c>
      <c r="BE41" s="72">
        <v>0.4738561</v>
      </c>
      <c r="BG41" s="31">
        <v>1.0515694749564699</v>
      </c>
      <c r="BH41" s="31">
        <v>3.9817301351319401</v>
      </c>
      <c r="BI41" s="34">
        <v>0.58299104000000002</v>
      </c>
      <c r="BJ41" s="34">
        <v>0.58164709000000003</v>
      </c>
      <c r="BK41" s="37">
        <v>0.45350889999999999</v>
      </c>
      <c r="BL41" s="37">
        <v>0.44424513999999998</v>
      </c>
      <c r="BM41" s="31">
        <v>1.84076241488933</v>
      </c>
      <c r="BN41" s="31">
        <v>6.5750475374664701</v>
      </c>
      <c r="BO41" s="34">
        <v>0.65055138000000001</v>
      </c>
      <c r="BP41" s="34">
        <v>0.62935589000000003</v>
      </c>
      <c r="BQ41" s="37">
        <v>0.70239737000000002</v>
      </c>
      <c r="BR41" s="37">
        <v>0.65096155</v>
      </c>
      <c r="BS41" s="31">
        <v>1.5750175640850399</v>
      </c>
      <c r="BT41" s="31">
        <v>5.5732905911813999</v>
      </c>
      <c r="BU41" s="34">
        <v>0.57724439000000005</v>
      </c>
      <c r="BV41" s="34">
        <v>0.55726697999999997</v>
      </c>
      <c r="BW41" s="37">
        <v>0.53051168000000004</v>
      </c>
      <c r="BX41" s="37">
        <v>0.50183398999999995</v>
      </c>
      <c r="BY41" s="31">
        <v>0.675118122369742</v>
      </c>
      <c r="BZ41" s="31">
        <v>2.5432603702954699</v>
      </c>
      <c r="CA41" s="34">
        <v>0.56626061000000005</v>
      </c>
      <c r="CB41" s="34">
        <v>0.57778381000000001</v>
      </c>
      <c r="CC41" s="37">
        <v>0.45702356999999999</v>
      </c>
      <c r="CD41" s="95">
        <v>0.46266790000000002</v>
      </c>
      <c r="CE41" s="97" t="s">
        <v>62</v>
      </c>
    </row>
    <row r="42" spans="1:83" s="7" customFormat="1" ht="35.25" customHeight="1">
      <c r="A42" s="120"/>
      <c r="B42" s="120"/>
      <c r="C42" s="82" t="s">
        <v>63</v>
      </c>
      <c r="D42" s="85" t="s">
        <v>43</v>
      </c>
      <c r="E42" s="87" t="s">
        <v>45</v>
      </c>
      <c r="F42" s="129"/>
      <c r="G42" s="120"/>
      <c r="H42" s="126"/>
      <c r="I42" s="10" t="e">
        <f t="shared" si="16"/>
        <v>#DIV/0!</v>
      </c>
      <c r="J42" s="11" t="e">
        <f t="shared" si="17"/>
        <v>#DIV/0!</v>
      </c>
      <c r="K42" s="11" t="e">
        <f t="shared" si="24"/>
        <v>#DIV/0!</v>
      </c>
      <c r="L42" s="13" t="e">
        <f t="shared" si="18"/>
        <v>#DIV/0!</v>
      </c>
      <c r="M42" s="12" t="e">
        <f t="shared" si="25"/>
        <v>#DIV/0!</v>
      </c>
      <c r="O42" s="30" t="e">
        <f t="shared" si="26"/>
        <v>#DIV/0!</v>
      </c>
      <c r="P42" s="33" t="e">
        <f t="shared" si="27"/>
        <v>#DIV/0!</v>
      </c>
      <c r="Q42" s="33" t="e">
        <f t="shared" si="28"/>
        <v>#DIV/0!</v>
      </c>
      <c r="R42" s="36" t="e">
        <f t="shared" si="29"/>
        <v>#DIV/0!</v>
      </c>
      <c r="S42" s="36" t="e">
        <f t="shared" si="30"/>
        <v>#DIV/0!</v>
      </c>
      <c r="T42" s="16"/>
      <c r="U42" s="58" t="e">
        <f t="shared" si="12"/>
        <v>#DIV/0!</v>
      </c>
      <c r="V42" s="55" t="e">
        <f t="shared" si="19"/>
        <v>#DIV/0!</v>
      </c>
      <c r="W42" s="25" t="e">
        <f t="shared" si="20"/>
        <v>#DIV/0!</v>
      </c>
      <c r="X42" s="24"/>
      <c r="Y42" s="53" t="e">
        <f>(I42-I41)/I41*100</f>
        <v>#DIV/0!</v>
      </c>
      <c r="Z42" s="51" t="e">
        <f>(K42-K41)/K41 *100</f>
        <v>#DIV/0!</v>
      </c>
      <c r="AA42" s="27" t="e">
        <f>(M42-M41)/M41 *100</f>
        <v>#DIV/0!</v>
      </c>
      <c r="AB42" s="41"/>
      <c r="AC42" s="25" t="e">
        <f t="shared" si="21"/>
        <v>#DIV/0!</v>
      </c>
      <c r="AD42" s="25" t="e">
        <f t="shared" si="22"/>
        <v>#DIV/0!</v>
      </c>
      <c r="AE42" s="25" t="e">
        <f t="shared" si="23"/>
        <v>#DIV/0!</v>
      </c>
      <c r="AF42" s="9"/>
      <c r="AG42" s="112" t="s">
        <v>40</v>
      </c>
      <c r="AH42" s="70"/>
      <c r="AI42" s="70"/>
      <c r="AJ42" s="222"/>
      <c r="AK42" s="71"/>
      <c r="AL42" s="72"/>
      <c r="AM42" s="72"/>
      <c r="AN42" s="70"/>
      <c r="AO42" s="70"/>
      <c r="AP42" s="71"/>
      <c r="AQ42" s="71"/>
      <c r="AR42" s="72"/>
      <c r="AS42" s="72"/>
      <c r="AT42" s="70"/>
      <c r="AU42" s="70"/>
      <c r="AV42" s="71"/>
      <c r="AW42" s="71"/>
      <c r="AX42" s="72"/>
      <c r="AY42" s="72"/>
      <c r="AZ42" s="70"/>
      <c r="BA42" s="70"/>
      <c r="BB42" s="71"/>
      <c r="BC42" s="71"/>
      <c r="BD42" s="72"/>
      <c r="BE42" s="72"/>
      <c r="BG42" s="31"/>
      <c r="BH42" s="31"/>
      <c r="BI42" s="34"/>
      <c r="BJ42" s="34"/>
      <c r="BK42" s="37"/>
      <c r="BL42" s="37"/>
      <c r="BM42" s="31"/>
      <c r="BN42" s="31"/>
      <c r="BO42" s="34"/>
      <c r="BP42" s="34"/>
      <c r="BQ42" s="37"/>
      <c r="BR42" s="37"/>
      <c r="BS42" s="31"/>
      <c r="BT42" s="31"/>
      <c r="BU42" s="34"/>
      <c r="BV42" s="34"/>
      <c r="BW42" s="37"/>
      <c r="BX42" s="37"/>
      <c r="BY42" s="31"/>
      <c r="BZ42" s="31"/>
      <c r="CA42" s="34"/>
      <c r="CB42" s="34"/>
      <c r="CC42" s="37"/>
      <c r="CD42" s="95"/>
      <c r="CE42" s="97"/>
    </row>
    <row r="43" spans="1:83" s="7" customFormat="1" ht="35.25" customHeight="1">
      <c r="A43" s="120"/>
      <c r="B43" s="120"/>
      <c r="C43" s="82" t="s">
        <v>61</v>
      </c>
      <c r="D43" s="83" t="s">
        <v>38</v>
      </c>
      <c r="E43" s="87" t="s">
        <v>45</v>
      </c>
      <c r="F43" s="128" t="s">
        <v>47</v>
      </c>
      <c r="G43" s="120"/>
      <c r="H43" s="126"/>
      <c r="I43" s="10">
        <f t="shared" si="16"/>
        <v>3.6456810558271155</v>
      </c>
      <c r="J43" s="11">
        <f t="shared" si="17"/>
        <v>1.0348836287117302</v>
      </c>
      <c r="K43" s="11">
        <f t="shared" si="24"/>
        <v>59.294464212365845</v>
      </c>
      <c r="L43" s="13">
        <f t="shared" si="18"/>
        <v>1.1605593649999999</v>
      </c>
      <c r="M43" s="12">
        <f t="shared" si="25"/>
        <v>66.495153488882821</v>
      </c>
      <c r="O43" s="30">
        <f t="shared" si="26"/>
        <v>3.2976115486377218</v>
      </c>
      <c r="P43" s="33">
        <f t="shared" si="27"/>
        <v>0.85289476500000005</v>
      </c>
      <c r="Q43" s="33">
        <f t="shared" si="28"/>
        <v>48.867270403302165</v>
      </c>
      <c r="R43" s="36">
        <f t="shared" si="29"/>
        <v>0.69468988125000009</v>
      </c>
      <c r="S43" s="36">
        <f t="shared" si="30"/>
        <v>39.802798266069345</v>
      </c>
      <c r="T43" s="16"/>
      <c r="U43" s="58">
        <f t="shared" si="12"/>
        <v>34.980712049879308</v>
      </c>
      <c r="V43" s="55">
        <f t="shared" si="19"/>
        <v>151.39643203533549</v>
      </c>
      <c r="W43" s="25">
        <f t="shared" si="20"/>
        <v>166.38394573115019</v>
      </c>
      <c r="X43" s="24"/>
      <c r="Y43" s="53"/>
      <c r="Z43" s="49"/>
      <c r="AA43" s="26"/>
      <c r="AB43" s="39"/>
      <c r="AC43" s="25">
        <f t="shared" si="21"/>
        <v>-9.5474481135164844</v>
      </c>
      <c r="AD43" s="25">
        <f t="shared" si="22"/>
        <v>-17.585442330194955</v>
      </c>
      <c r="AE43" s="25">
        <f t="shared" si="23"/>
        <v>-40.14180556373347</v>
      </c>
      <c r="AF43" s="9"/>
      <c r="AG43" s="112" t="s">
        <v>40</v>
      </c>
      <c r="AH43" s="70">
        <v>1.3816696198571901</v>
      </c>
      <c r="AI43" s="70">
        <v>5.37460184355926</v>
      </c>
      <c r="AJ43" s="222">
        <v>1.1590557242513899</v>
      </c>
      <c r="AK43" s="71">
        <v>1.1685865064986101</v>
      </c>
      <c r="AL43" s="72">
        <v>1.3763894999999999</v>
      </c>
      <c r="AM43" s="72">
        <v>1.3770537599999999</v>
      </c>
      <c r="AN43" s="70">
        <v>2.0262673542694198</v>
      </c>
      <c r="AO43" s="70">
        <v>7.4047601799239704</v>
      </c>
      <c r="AP43" s="71">
        <v>0.93571088815265901</v>
      </c>
      <c r="AQ43" s="71">
        <v>0.954393045164175</v>
      </c>
      <c r="AR43" s="72">
        <v>1.1333005599999999</v>
      </c>
      <c r="AS43" s="72">
        <v>1.1144918800000001</v>
      </c>
      <c r="AT43" s="70">
        <v>1.7695436242748701</v>
      </c>
      <c r="AU43" s="70">
        <v>6.4783829874679899</v>
      </c>
      <c r="AV43" s="71">
        <v>0.84200474947359705</v>
      </c>
      <c r="AW43" s="71">
        <v>0.86936223710664196</v>
      </c>
      <c r="AX43" s="72">
        <v>1.0439836199999999</v>
      </c>
      <c r="AY43" s="72">
        <v>1.0443865699999999</v>
      </c>
      <c r="AZ43" s="70">
        <v>0.96339520501059595</v>
      </c>
      <c r="BA43" s="70">
        <v>3.76682763225363</v>
      </c>
      <c r="BB43" s="71">
        <v>1.1437363913435701</v>
      </c>
      <c r="BC43" s="71">
        <v>1.2062194877032</v>
      </c>
      <c r="BD43" s="72">
        <v>1.07269652</v>
      </c>
      <c r="BE43" s="72">
        <v>1.12217251</v>
      </c>
      <c r="BG43" s="31">
        <v>1.16669925317005</v>
      </c>
      <c r="BH43" s="31">
        <v>4.4625473120736299</v>
      </c>
      <c r="BI43" s="34">
        <v>0.84110752</v>
      </c>
      <c r="BJ43" s="34">
        <v>0.87106835999999999</v>
      </c>
      <c r="BK43" s="37">
        <v>0.60864189000000002</v>
      </c>
      <c r="BL43" s="37">
        <v>0.60948457</v>
      </c>
      <c r="BM43" s="31">
        <v>1.9403361838386599</v>
      </c>
      <c r="BN43" s="31">
        <v>7.0171536917360502</v>
      </c>
      <c r="BO43" s="34">
        <v>0.74947368999999997</v>
      </c>
      <c r="BP43" s="34">
        <v>0.75145693000000002</v>
      </c>
      <c r="BQ43" s="37">
        <v>0.59760913999999998</v>
      </c>
      <c r="BR43" s="37">
        <v>0.59099502000000004</v>
      </c>
      <c r="BS43" s="31">
        <v>1.68998130599081</v>
      </c>
      <c r="BT43" s="31">
        <v>6.0875697598191998</v>
      </c>
      <c r="BU43" s="34">
        <v>0.72755491000000005</v>
      </c>
      <c r="BV43" s="34">
        <v>0.75967916999999996</v>
      </c>
      <c r="BW43" s="37">
        <v>0.60609066</v>
      </c>
      <c r="BX43" s="37">
        <v>0.61593620999999998</v>
      </c>
      <c r="BY43" s="31">
        <v>0.83118012716548395</v>
      </c>
      <c r="BZ43" s="31">
        <v>3.1854247553078898</v>
      </c>
      <c r="CA43" s="34">
        <v>1.0337669599999999</v>
      </c>
      <c r="CB43" s="34">
        <v>1.0890505800000001</v>
      </c>
      <c r="CC43" s="37">
        <v>0.92020623999999995</v>
      </c>
      <c r="CD43" s="95">
        <v>1.0085553199999999</v>
      </c>
      <c r="CE43" s="97" t="s">
        <v>62</v>
      </c>
    </row>
    <row r="44" spans="1:83" s="7" customFormat="1" ht="35.25" customHeight="1">
      <c r="A44" s="120"/>
      <c r="B44" s="120"/>
      <c r="C44" s="82" t="s">
        <v>63</v>
      </c>
      <c r="D44" s="85" t="s">
        <v>43</v>
      </c>
      <c r="E44" s="87" t="s">
        <v>45</v>
      </c>
      <c r="F44" s="129"/>
      <c r="G44" s="120"/>
      <c r="H44" s="126"/>
      <c r="I44" s="10" t="e">
        <f t="shared" si="16"/>
        <v>#DIV/0!</v>
      </c>
      <c r="J44" s="11" t="e">
        <f t="shared" si="17"/>
        <v>#DIV/0!</v>
      </c>
      <c r="K44" s="11" t="e">
        <f t="shared" si="24"/>
        <v>#DIV/0!</v>
      </c>
      <c r="L44" s="13" t="e">
        <f t="shared" si="18"/>
        <v>#DIV/0!</v>
      </c>
      <c r="M44" s="12" t="e">
        <f t="shared" si="25"/>
        <v>#DIV/0!</v>
      </c>
      <c r="O44" s="30" t="e">
        <f t="shared" si="26"/>
        <v>#DIV/0!</v>
      </c>
      <c r="P44" s="33" t="e">
        <f t="shared" si="27"/>
        <v>#DIV/0!</v>
      </c>
      <c r="Q44" s="33" t="e">
        <f t="shared" si="28"/>
        <v>#DIV/0!</v>
      </c>
      <c r="R44" s="36" t="e">
        <f t="shared" si="29"/>
        <v>#DIV/0!</v>
      </c>
      <c r="S44" s="36" t="e">
        <f t="shared" si="30"/>
        <v>#DIV/0!</v>
      </c>
      <c r="T44" s="16"/>
      <c r="U44" s="58" t="e">
        <f t="shared" si="12"/>
        <v>#DIV/0!</v>
      </c>
      <c r="V44" s="55" t="e">
        <f t="shared" si="19"/>
        <v>#DIV/0!</v>
      </c>
      <c r="W44" s="25" t="e">
        <f t="shared" si="20"/>
        <v>#DIV/0!</v>
      </c>
      <c r="X44" s="24"/>
      <c r="Y44" s="53" t="e">
        <f>(I44-I43)/I43*100</f>
        <v>#DIV/0!</v>
      </c>
      <c r="Z44" s="51" t="e">
        <f>(K44-K43)/K43 *100</f>
        <v>#DIV/0!</v>
      </c>
      <c r="AA44" s="27" t="e">
        <f>(M44-M43)/M43 *100</f>
        <v>#DIV/0!</v>
      </c>
      <c r="AB44" s="41"/>
      <c r="AC44" s="25" t="e">
        <f t="shared" si="21"/>
        <v>#DIV/0!</v>
      </c>
      <c r="AD44" s="25" t="e">
        <f t="shared" si="22"/>
        <v>#DIV/0!</v>
      </c>
      <c r="AE44" s="25" t="e">
        <f t="shared" si="23"/>
        <v>#DIV/0!</v>
      </c>
      <c r="AF44" s="9"/>
      <c r="AG44" s="112" t="s">
        <v>40</v>
      </c>
      <c r="AH44" s="70"/>
      <c r="AI44" s="70"/>
      <c r="AJ44" s="222"/>
      <c r="AK44" s="71"/>
      <c r="AL44" s="72"/>
      <c r="AM44" s="72"/>
      <c r="AN44" s="70"/>
      <c r="AO44" s="70"/>
      <c r="AP44" s="71"/>
      <c r="AQ44" s="71"/>
      <c r="AR44" s="72"/>
      <c r="AS44" s="72"/>
      <c r="AT44" s="70"/>
      <c r="AU44" s="70"/>
      <c r="AV44" s="71"/>
      <c r="AW44" s="71"/>
      <c r="AX44" s="72"/>
      <c r="AY44" s="72"/>
      <c r="AZ44" s="70"/>
      <c r="BA44" s="70"/>
      <c r="BB44" s="71"/>
      <c r="BC44" s="71"/>
      <c r="BD44" s="72"/>
      <c r="BE44" s="72"/>
      <c r="BG44" s="31"/>
      <c r="BH44" s="31"/>
      <c r="BI44" s="34"/>
      <c r="BJ44" s="34"/>
      <c r="BK44" s="37"/>
      <c r="BL44" s="37"/>
      <c r="BM44" s="31"/>
      <c r="BN44" s="31"/>
      <c r="BO44" s="34"/>
      <c r="BP44" s="34"/>
      <c r="BQ44" s="37"/>
      <c r="BR44" s="37"/>
      <c r="BS44" s="31"/>
      <c r="BT44" s="31"/>
      <c r="BU44" s="34"/>
      <c r="BV44" s="34"/>
      <c r="BW44" s="37"/>
      <c r="BX44" s="37"/>
      <c r="BY44" s="31"/>
      <c r="BZ44" s="31"/>
      <c r="CA44" s="34"/>
      <c r="CB44" s="34"/>
      <c r="CC44" s="37"/>
      <c r="CD44" s="95"/>
      <c r="CE44" s="97"/>
    </row>
    <row r="45" spans="1:83" s="7" customFormat="1" ht="35.25" customHeight="1">
      <c r="A45" s="120"/>
      <c r="B45" s="120"/>
      <c r="C45" s="82" t="s">
        <v>61</v>
      </c>
      <c r="D45" s="83" t="s">
        <v>38</v>
      </c>
      <c r="E45" s="87" t="s">
        <v>45</v>
      </c>
      <c r="F45" s="128" t="s">
        <v>48</v>
      </c>
      <c r="G45" s="120"/>
      <c r="H45" s="126"/>
      <c r="I45" s="10">
        <f t="shared" si="16"/>
        <v>3.9442180862791512</v>
      </c>
      <c r="J45" s="11">
        <f t="shared" si="17"/>
        <v>1.3081168798266838</v>
      </c>
      <c r="K45" s="11">
        <f t="shared" si="24"/>
        <v>74.949576323890881</v>
      </c>
      <c r="L45" s="13">
        <f t="shared" si="18"/>
        <v>1.3855449025</v>
      </c>
      <c r="M45" s="12">
        <f t="shared" si="25"/>
        <v>79.385875239115137</v>
      </c>
      <c r="O45" s="30">
        <f t="shared" si="26"/>
        <v>3.5766609045976647</v>
      </c>
      <c r="P45" s="33">
        <f t="shared" si="27"/>
        <v>1.2118970037499999</v>
      </c>
      <c r="Q45" s="33">
        <f t="shared" si="28"/>
        <v>69.436583519425099</v>
      </c>
      <c r="R45" s="36">
        <f t="shared" si="29"/>
        <v>1.1002537162499999</v>
      </c>
      <c r="S45" s="36">
        <f t="shared" si="30"/>
        <v>63.039894334709437</v>
      </c>
      <c r="T45" s="16"/>
      <c r="U45" s="58">
        <f t="shared" si="12"/>
        <v>46.033994091451078</v>
      </c>
      <c r="V45" s="55">
        <f t="shared" si="19"/>
        <v>217.77091370456665</v>
      </c>
      <c r="W45" s="25">
        <f t="shared" si="20"/>
        <v>218.02502245598765</v>
      </c>
      <c r="X45" s="24"/>
      <c r="Y45" s="53"/>
      <c r="Z45" s="49"/>
      <c r="AA45" s="26"/>
      <c r="AB45" s="39"/>
      <c r="AC45" s="25">
        <f t="shared" si="21"/>
        <v>-9.3188858638450203</v>
      </c>
      <c r="AD45" s="25">
        <f t="shared" si="22"/>
        <v>-7.3556023594338367</v>
      </c>
      <c r="AE45" s="25">
        <f t="shared" si="23"/>
        <v>-20.590540641103473</v>
      </c>
      <c r="AF45" s="9"/>
      <c r="AG45" s="112" t="s">
        <v>40</v>
      </c>
      <c r="AH45" s="70">
        <v>1.48964875958403</v>
      </c>
      <c r="AI45" s="70">
        <v>5.79705359207078</v>
      </c>
      <c r="AJ45" s="222">
        <v>1.4271068039352099</v>
      </c>
      <c r="AK45" s="71">
        <v>1.4291208257322601</v>
      </c>
      <c r="AL45" s="72">
        <v>1.5684469599999999</v>
      </c>
      <c r="AM45" s="72">
        <v>1.56490789</v>
      </c>
      <c r="AN45" s="70">
        <v>2.1674799264555999</v>
      </c>
      <c r="AO45" s="70">
        <v>8.0034976932162394</v>
      </c>
      <c r="AP45" s="71">
        <v>1.20119473864939</v>
      </c>
      <c r="AQ45" s="71">
        <v>1.23841757760772</v>
      </c>
      <c r="AR45" s="72">
        <v>1.3521967500000001</v>
      </c>
      <c r="AS45" s="72">
        <v>1.34894403</v>
      </c>
      <c r="AT45" s="70">
        <v>1.88496883486885</v>
      </c>
      <c r="AU45" s="70">
        <v>6.9362217019943904</v>
      </c>
      <c r="AV45" s="71">
        <v>1.07341852692206</v>
      </c>
      <c r="AW45" s="71">
        <v>1.1177482053597101</v>
      </c>
      <c r="AX45" s="72">
        <v>1.19313037</v>
      </c>
      <c r="AY45" s="72">
        <v>1.19587233</v>
      </c>
      <c r="AZ45" s="70">
        <v>1.0699554650709</v>
      </c>
      <c r="BA45" s="70">
        <v>4.2049187169724203</v>
      </c>
      <c r="BB45" s="71">
        <v>1.4606814199317</v>
      </c>
      <c r="BC45" s="71">
        <v>1.5172469404754201</v>
      </c>
      <c r="BD45" s="72">
        <v>1.40125656</v>
      </c>
      <c r="BE45" s="72">
        <v>1.4596043299999999</v>
      </c>
      <c r="BG45" s="31">
        <v>1.2698128338988699</v>
      </c>
      <c r="BH45" s="31">
        <v>4.8776806255864402</v>
      </c>
      <c r="BI45" s="34">
        <v>1.16713205</v>
      </c>
      <c r="BJ45" s="34">
        <v>1.2105031100000001</v>
      </c>
      <c r="BK45" s="37">
        <v>1.0054856599999999</v>
      </c>
      <c r="BL45" s="37">
        <v>1.01800522</v>
      </c>
      <c r="BM45" s="31">
        <v>2.0627867018473802</v>
      </c>
      <c r="BN45" s="31">
        <v>7.5151597066337601</v>
      </c>
      <c r="BO45" s="34">
        <v>1.07891369</v>
      </c>
      <c r="BP45" s="34">
        <v>1.0811573999999999</v>
      </c>
      <c r="BQ45" s="37">
        <v>0.77318308000000002</v>
      </c>
      <c r="BR45" s="37">
        <v>0.76100471999999997</v>
      </c>
      <c r="BS45" s="31">
        <v>1.8169912387206399</v>
      </c>
      <c r="BT45" s="31">
        <v>6.5921584290349697</v>
      </c>
      <c r="BU45" s="34">
        <v>1.05036913</v>
      </c>
      <c r="BV45" s="34">
        <v>1.0706054599999999</v>
      </c>
      <c r="BW45" s="37">
        <v>0.82711219999999996</v>
      </c>
      <c r="BX45" s="37">
        <v>0.83604316000000001</v>
      </c>
      <c r="BY45" s="31">
        <v>0.925089229969559</v>
      </c>
      <c r="BZ45" s="31">
        <v>3.5536084710896998</v>
      </c>
      <c r="CA45" s="34">
        <v>1.4904116599999999</v>
      </c>
      <c r="CB45" s="34">
        <v>1.54608353</v>
      </c>
      <c r="CC45" s="37">
        <v>1.78649773</v>
      </c>
      <c r="CD45" s="95">
        <v>1.7946979599999999</v>
      </c>
      <c r="CE45" s="97" t="s">
        <v>62</v>
      </c>
    </row>
    <row r="46" spans="1:83" s="7" customFormat="1" ht="35.25" customHeight="1">
      <c r="A46" s="121"/>
      <c r="B46" s="121"/>
      <c r="C46" s="82" t="s">
        <v>63</v>
      </c>
      <c r="D46" s="85" t="s">
        <v>43</v>
      </c>
      <c r="E46" s="87" t="s">
        <v>45</v>
      </c>
      <c r="F46" s="129"/>
      <c r="G46" s="121"/>
      <c r="H46" s="127"/>
      <c r="I46" s="10" t="e">
        <f t="shared" si="16"/>
        <v>#DIV/0!</v>
      </c>
      <c r="J46" s="11" t="e">
        <f t="shared" si="17"/>
        <v>#DIV/0!</v>
      </c>
      <c r="K46" s="11" t="e">
        <f t="shared" si="24"/>
        <v>#DIV/0!</v>
      </c>
      <c r="L46" s="13" t="e">
        <f t="shared" si="18"/>
        <v>#DIV/0!</v>
      </c>
      <c r="M46" s="12" t="e">
        <f t="shared" si="25"/>
        <v>#DIV/0!</v>
      </c>
      <c r="O46" s="30" t="e">
        <f t="shared" si="26"/>
        <v>#DIV/0!</v>
      </c>
      <c r="P46" s="33" t="e">
        <f t="shared" si="27"/>
        <v>#DIV/0!</v>
      </c>
      <c r="Q46" s="33" t="e">
        <f t="shared" si="28"/>
        <v>#DIV/0!</v>
      </c>
      <c r="R46" s="36" t="e">
        <f t="shared" si="29"/>
        <v>#DIV/0!</v>
      </c>
      <c r="S46" s="36" t="e">
        <f t="shared" si="30"/>
        <v>#DIV/0!</v>
      </c>
      <c r="T46" s="16"/>
      <c r="U46" s="58" t="e">
        <f t="shared" si="12"/>
        <v>#DIV/0!</v>
      </c>
      <c r="V46" s="55" t="e">
        <f t="shared" si="19"/>
        <v>#DIV/0!</v>
      </c>
      <c r="W46" s="25" t="e">
        <f t="shared" si="20"/>
        <v>#DIV/0!</v>
      </c>
      <c r="X46" s="24"/>
      <c r="Y46" s="53" t="e">
        <f>(I46-I45)/I45*100</f>
        <v>#DIV/0!</v>
      </c>
      <c r="Z46" s="51" t="e">
        <f>(K46-K45)/K45 *100</f>
        <v>#DIV/0!</v>
      </c>
      <c r="AA46" s="27" t="e">
        <f>(M46-M45)/M45 *100</f>
        <v>#DIV/0!</v>
      </c>
      <c r="AB46" s="41"/>
      <c r="AC46" s="25" t="e">
        <f t="shared" si="21"/>
        <v>#DIV/0!</v>
      </c>
      <c r="AD46" s="25" t="e">
        <f t="shared" si="22"/>
        <v>#DIV/0!</v>
      </c>
      <c r="AE46" s="25" t="e">
        <f t="shared" si="23"/>
        <v>#DIV/0!</v>
      </c>
      <c r="AF46" s="9"/>
      <c r="AG46" s="112" t="s">
        <v>40</v>
      </c>
      <c r="AH46" s="70"/>
      <c r="AI46" s="70"/>
      <c r="AJ46" s="222"/>
      <c r="AK46" s="71"/>
      <c r="AL46" s="72"/>
      <c r="AM46" s="72"/>
      <c r="AN46" s="70"/>
      <c r="AO46" s="70"/>
      <c r="AP46" s="71"/>
      <c r="AQ46" s="71"/>
      <c r="AR46" s="72"/>
      <c r="AS46" s="72"/>
      <c r="AT46" s="70"/>
      <c r="AU46" s="70"/>
      <c r="AV46" s="71"/>
      <c r="AW46" s="71"/>
      <c r="AX46" s="72"/>
      <c r="AY46" s="72"/>
      <c r="AZ46" s="70"/>
      <c r="BA46" s="70"/>
      <c r="BB46" s="71"/>
      <c r="BC46" s="71"/>
      <c r="BD46" s="72"/>
      <c r="BE46" s="72"/>
      <c r="BG46" s="31"/>
      <c r="BH46" s="31"/>
      <c r="BI46" s="34"/>
      <c r="BJ46" s="34"/>
      <c r="BK46" s="37"/>
      <c r="BL46" s="37"/>
      <c r="BM46" s="31"/>
      <c r="BN46" s="31"/>
      <c r="BO46" s="34"/>
      <c r="BP46" s="34"/>
      <c r="BQ46" s="37"/>
      <c r="BR46" s="37"/>
      <c r="BS46" s="31"/>
      <c r="BT46" s="31"/>
      <c r="BU46" s="34"/>
      <c r="BV46" s="34"/>
      <c r="BW46" s="37"/>
      <c r="BX46" s="37"/>
      <c r="BY46" s="31"/>
      <c r="BZ46" s="31"/>
      <c r="CA46" s="34"/>
      <c r="CB46" s="34"/>
      <c r="CC46" s="37"/>
      <c r="CD46" s="95"/>
      <c r="CE46" s="97"/>
    </row>
    <row r="47" spans="1:83" s="7" customFormat="1" ht="35.25" customHeight="1">
      <c r="A47" s="122" t="s">
        <v>64</v>
      </c>
      <c r="B47" s="122" t="s">
        <v>36</v>
      </c>
      <c r="C47" s="81" t="s">
        <v>65</v>
      </c>
      <c r="D47" s="83" t="s">
        <v>38</v>
      </c>
      <c r="E47" s="86" t="s">
        <v>38</v>
      </c>
      <c r="F47" s="123" t="s">
        <v>39</v>
      </c>
      <c r="G47" s="125">
        <v>16</v>
      </c>
      <c r="H47" s="125">
        <v>6</v>
      </c>
      <c r="I47" s="10">
        <f t="shared" si="16"/>
        <v>2.8364421188252535</v>
      </c>
      <c r="J47" s="11">
        <f t="shared" si="17"/>
        <v>0.47942330397761623</v>
      </c>
      <c r="K47" s="11">
        <f t="shared" si="24"/>
        <v>27.468931918134942</v>
      </c>
      <c r="L47" s="13">
        <f t="shared" si="18"/>
        <v>0.53358967125000001</v>
      </c>
      <c r="M47" s="12">
        <f t="shared" si="25"/>
        <v>30.572436154398083</v>
      </c>
      <c r="O47" s="30">
        <f t="shared" si="26"/>
        <v>2.944578685663171</v>
      </c>
      <c r="P47" s="33">
        <f t="shared" si="27"/>
        <v>0.59117659624999996</v>
      </c>
      <c r="Q47" s="33">
        <f t="shared" si="28"/>
        <v>33.871923912034489</v>
      </c>
      <c r="R47" s="36">
        <f t="shared" si="29"/>
        <v>0.70578871625000006</v>
      </c>
      <c r="S47" s="36">
        <f t="shared" si="30"/>
        <v>40.438714669081428</v>
      </c>
      <c r="T47" s="16"/>
      <c r="U47" s="58">
        <f t="shared" si="12"/>
        <v>5.0187800370919806</v>
      </c>
      <c r="V47" s="55">
        <f t="shared" si="19"/>
        <v>16.462667599254722</v>
      </c>
      <c r="W47" s="25">
        <f t="shared" si="20"/>
        <v>22.475184222017194</v>
      </c>
      <c r="X47" s="24"/>
      <c r="Y47" s="53"/>
      <c r="Z47" s="49"/>
      <c r="AA47" s="26"/>
      <c r="AB47" s="39"/>
      <c r="AC47" s="25">
        <f t="shared" si="21"/>
        <v>3.8124016746269285</v>
      </c>
      <c r="AD47" s="25">
        <f t="shared" si="22"/>
        <v>23.309941620526946</v>
      </c>
      <c r="AE47" s="100">
        <f t="shared" si="23"/>
        <v>32.271810021472568</v>
      </c>
      <c r="AF47" s="9"/>
      <c r="AG47" s="112" t="s">
        <v>40</v>
      </c>
      <c r="AH47" s="70">
        <v>1.0012361154863301</v>
      </c>
      <c r="AI47" s="70">
        <v>3.8011542419407802</v>
      </c>
      <c r="AJ47" s="222">
        <v>0.45399999313493</v>
      </c>
      <c r="AK47" s="71">
        <v>0.44304457511883</v>
      </c>
      <c r="AL47" s="72">
        <v>0.48170062000000002</v>
      </c>
      <c r="AM47" s="72">
        <v>0.46551863999999998</v>
      </c>
      <c r="AN47" s="70">
        <v>1.7930634755291599</v>
      </c>
      <c r="AO47" s="70">
        <v>6.4195227455446098</v>
      </c>
      <c r="AP47" s="71">
        <v>0.57893539686554996</v>
      </c>
      <c r="AQ47" s="71">
        <v>0.55961458602127001</v>
      </c>
      <c r="AR47" s="72">
        <v>0.70445214</v>
      </c>
      <c r="AS47" s="72">
        <v>0.66504269000000005</v>
      </c>
      <c r="AT47" s="70">
        <v>1.53550835279465</v>
      </c>
      <c r="AU47" s="70">
        <v>5.4311606971744704</v>
      </c>
      <c r="AV47" s="71">
        <v>0.49467746241671001</v>
      </c>
      <c r="AW47" s="71">
        <v>0.47463608259050999</v>
      </c>
      <c r="AX47" s="72">
        <v>0.54119872000000002</v>
      </c>
      <c r="AY47" s="72">
        <v>0.50218264000000001</v>
      </c>
      <c r="AZ47" s="70">
        <v>0.57224350608418995</v>
      </c>
      <c r="BA47" s="70">
        <v>2.1376478160478398</v>
      </c>
      <c r="BB47" s="71">
        <v>0.42702715897773003</v>
      </c>
      <c r="BC47" s="71">
        <v>0.40345117669539998</v>
      </c>
      <c r="BD47" s="72">
        <v>0.46433658999999999</v>
      </c>
      <c r="BE47" s="72">
        <v>0.44428532999999998</v>
      </c>
      <c r="BG47" s="31">
        <v>1.05351773273282</v>
      </c>
      <c r="BH47" s="31">
        <v>3.9861521652848602</v>
      </c>
      <c r="BI47" s="34">
        <v>0.57168563999999999</v>
      </c>
      <c r="BJ47" s="34">
        <v>0.55267785000000003</v>
      </c>
      <c r="BK47" s="37">
        <v>0.71906798000000005</v>
      </c>
      <c r="BL47" s="37">
        <v>0.67151998999999996</v>
      </c>
      <c r="BM47" s="31">
        <v>1.8405703012321299</v>
      </c>
      <c r="BN47" s="31">
        <v>6.6189972130646204</v>
      </c>
      <c r="BO47" s="34">
        <v>0.67898331999999995</v>
      </c>
      <c r="BP47" s="34">
        <v>0.65562467999999996</v>
      </c>
      <c r="BQ47" s="37">
        <v>0.83409465000000005</v>
      </c>
      <c r="BR47" s="37">
        <v>0.79670644000000002</v>
      </c>
      <c r="BS47" s="31">
        <v>1.5742977011269199</v>
      </c>
      <c r="BT47" s="31">
        <v>5.5800249886091899</v>
      </c>
      <c r="BU47" s="34">
        <v>0.58870672000000002</v>
      </c>
      <c r="BV47" s="34">
        <v>0.56403252000000004</v>
      </c>
      <c r="BW47" s="37">
        <v>0.65772332</v>
      </c>
      <c r="BX47" s="37">
        <v>0.61020591999999996</v>
      </c>
      <c r="BY47" s="31">
        <v>0.61171169438805595</v>
      </c>
      <c r="BZ47" s="31">
        <v>2.2913576888667699</v>
      </c>
      <c r="CA47" s="34">
        <v>0.56903402000000003</v>
      </c>
      <c r="CB47" s="34">
        <v>0.54866802000000003</v>
      </c>
      <c r="CC47" s="37">
        <v>0.68188557999999999</v>
      </c>
      <c r="CD47" s="95">
        <v>0.67510585000000001</v>
      </c>
      <c r="CE47" s="99" t="s">
        <v>51</v>
      </c>
    </row>
    <row r="48" spans="1:83" s="7" customFormat="1" ht="35.25" customHeight="1">
      <c r="A48" s="120"/>
      <c r="B48" s="120"/>
      <c r="C48" s="118" t="s">
        <v>66</v>
      </c>
      <c r="D48" s="85" t="s">
        <v>43</v>
      </c>
      <c r="E48" s="86" t="s">
        <v>38</v>
      </c>
      <c r="F48" s="124"/>
      <c r="G48" s="126"/>
      <c r="H48" s="126"/>
      <c r="I48" s="10">
        <f t="shared" si="16"/>
        <v>2.7326053166995683</v>
      </c>
      <c r="J48" s="11">
        <f t="shared" si="17"/>
        <v>0.42052293947058733</v>
      </c>
      <c r="K48" s="11">
        <f t="shared" si="24"/>
        <v>24.094189620100035</v>
      </c>
      <c r="L48" s="13">
        <f t="shared" si="18"/>
        <v>0.47511340000000002</v>
      </c>
      <c r="M48" s="12">
        <f t="shared" si="25"/>
        <v>27.221992610110888</v>
      </c>
      <c r="O48" s="30" t="e">
        <f t="shared" si="26"/>
        <v>#DIV/0!</v>
      </c>
      <c r="P48" s="33" t="e">
        <f t="shared" si="27"/>
        <v>#DIV/0!</v>
      </c>
      <c r="Q48" s="33" t="e">
        <f t="shared" si="28"/>
        <v>#DIV/0!</v>
      </c>
      <c r="R48" s="36" t="e">
        <f t="shared" si="29"/>
        <v>#DIV/0!</v>
      </c>
      <c r="S48" s="36" t="e">
        <f t="shared" si="30"/>
        <v>#DIV/0!</v>
      </c>
      <c r="T48" s="16"/>
      <c r="U48" s="58">
        <f t="shared" si="12"/>
        <v>1.174240354854875</v>
      </c>
      <c r="V48" s="55">
        <f t="shared" si="19"/>
        <v>2.1544487118029814</v>
      </c>
      <c r="W48" s="25">
        <f t="shared" si="20"/>
        <v>9.0530876563494651</v>
      </c>
      <c r="X48" s="24"/>
      <c r="Y48" s="53">
        <f>(I48-I47)/I47*100</f>
        <v>-3.660811600438739</v>
      </c>
      <c r="Z48" s="51">
        <f>(K48-K47)/K47 *100</f>
        <v>-12.285669890961094</v>
      </c>
      <c r="AA48" s="27">
        <f>(M48-M47)/M47 *100</f>
        <v>-10.95903357968157</v>
      </c>
      <c r="AB48" s="41"/>
      <c r="AC48" s="25" t="e">
        <f t="shared" si="21"/>
        <v>#DIV/0!</v>
      </c>
      <c r="AD48" s="25" t="e">
        <f t="shared" si="22"/>
        <v>#DIV/0!</v>
      </c>
      <c r="AE48" s="25" t="e">
        <f t="shared" si="23"/>
        <v>#DIV/0!</v>
      </c>
      <c r="AF48" s="9"/>
      <c r="AG48" s="112" t="s">
        <v>67</v>
      </c>
      <c r="AH48" s="70">
        <v>0.94646646129668899</v>
      </c>
      <c r="AI48" s="70">
        <v>3.5934408834853899</v>
      </c>
      <c r="AJ48" s="222">
        <v>0.38901353334747202</v>
      </c>
      <c r="AK48" s="71">
        <v>0.386919061682934</v>
      </c>
      <c r="AL48" s="72">
        <v>0.40193251000000002</v>
      </c>
      <c r="AM48" s="72">
        <v>0.40121572</v>
      </c>
      <c r="AN48" s="70">
        <v>1.7293437204550199</v>
      </c>
      <c r="AO48" s="70">
        <v>6.1771701713361704</v>
      </c>
      <c r="AP48" s="71">
        <v>0.45616679170132002</v>
      </c>
      <c r="AQ48" s="71">
        <v>0.45564194603215902</v>
      </c>
      <c r="AR48" s="72">
        <v>0.51221678000000004</v>
      </c>
      <c r="AS48" s="72">
        <v>0.47530671000000002</v>
      </c>
      <c r="AT48" s="70">
        <v>1.47548685411717</v>
      </c>
      <c r="AU48" s="70">
        <v>5.2134330445141401</v>
      </c>
      <c r="AV48" s="71">
        <v>0.408668669625877</v>
      </c>
      <c r="AW48" s="71">
        <v>0.40840351816707199</v>
      </c>
      <c r="AX48" s="72">
        <v>0.41312148999999998</v>
      </c>
      <c r="AY48" s="72">
        <v>0.40425828000000003</v>
      </c>
      <c r="AZ48" s="70">
        <v>0.57065203805373899</v>
      </c>
      <c r="BA48" s="70">
        <v>2.1548493603382299</v>
      </c>
      <c r="BB48" s="71">
        <v>0.433954671799197</v>
      </c>
      <c r="BC48" s="71">
        <v>0.425415323408668</v>
      </c>
      <c r="BD48" s="72">
        <v>0.58880186999999995</v>
      </c>
      <c r="BE48" s="72">
        <v>0.60405383999999995</v>
      </c>
      <c r="BG48" s="31"/>
      <c r="BH48" s="31"/>
      <c r="BI48" s="34"/>
      <c r="BJ48" s="34"/>
      <c r="BK48" s="37"/>
      <c r="BL48" s="37"/>
      <c r="BM48" s="31"/>
      <c r="BN48" s="31"/>
      <c r="BO48" s="34"/>
      <c r="BP48" s="34"/>
      <c r="BQ48" s="37"/>
      <c r="BR48" s="37"/>
      <c r="BS48" s="31"/>
      <c r="BT48" s="31"/>
      <c r="BU48" s="34"/>
      <c r="BV48" s="34"/>
      <c r="BW48" s="37"/>
      <c r="BX48" s="37"/>
      <c r="BY48" s="31"/>
      <c r="BZ48" s="31"/>
      <c r="CA48" s="34"/>
      <c r="CB48" s="34"/>
      <c r="CC48" s="37"/>
      <c r="CD48" s="95"/>
      <c r="CE48" s="97"/>
    </row>
    <row r="49" spans="1:83" s="7" customFormat="1" ht="35.25" customHeight="1">
      <c r="A49" s="120"/>
      <c r="B49" s="120"/>
      <c r="C49" s="82" t="s">
        <v>65</v>
      </c>
      <c r="D49" s="83" t="s">
        <v>38</v>
      </c>
      <c r="E49" s="87" t="s">
        <v>45</v>
      </c>
      <c r="F49" s="128" t="s">
        <v>36</v>
      </c>
      <c r="G49" s="126"/>
      <c r="H49" s="126"/>
      <c r="I49" s="10">
        <f t="shared" si="16"/>
        <v>2.9657039867790624</v>
      </c>
      <c r="J49" s="11">
        <f t="shared" si="17"/>
        <v>0.54023735107442417</v>
      </c>
      <c r="K49" s="11">
        <f t="shared" si="24"/>
        <v>30.953320151891855</v>
      </c>
      <c r="L49" s="13">
        <f t="shared" si="18"/>
        <v>0.51741300499999998</v>
      </c>
      <c r="M49" s="12">
        <f t="shared" si="25"/>
        <v>29.645581451681359</v>
      </c>
      <c r="O49" s="30">
        <f t="shared" si="26"/>
        <v>3.0651823136768965</v>
      </c>
      <c r="P49" s="33">
        <f t="shared" si="27"/>
        <v>0.62881032999999997</v>
      </c>
      <c r="Q49" s="33">
        <f t="shared" si="28"/>
        <v>36.028178023228534</v>
      </c>
      <c r="R49" s="36">
        <f t="shared" si="29"/>
        <v>0.76245028749999999</v>
      </c>
      <c r="S49" s="36">
        <f t="shared" si="30"/>
        <v>43.685183562286227</v>
      </c>
      <c r="T49" s="16"/>
      <c r="U49" s="58">
        <f t="shared" si="12"/>
        <v>9.8046783946607583</v>
      </c>
      <c r="V49" s="55">
        <f t="shared" si="19"/>
        <v>31.235762886111377</v>
      </c>
      <c r="W49" s="25">
        <f t="shared" si="20"/>
        <v>18.7621434983736</v>
      </c>
      <c r="X49" s="24"/>
      <c r="Y49" s="53"/>
      <c r="Z49" s="49"/>
      <c r="AA49" s="26"/>
      <c r="AB49" s="39"/>
      <c r="AC49" s="25">
        <f t="shared" si="21"/>
        <v>3.3542904936333073</v>
      </c>
      <c r="AD49" s="25">
        <f t="shared" si="22"/>
        <v>16.395197175726899</v>
      </c>
      <c r="AE49" s="25">
        <f t="shared" si="23"/>
        <v>47.358160721143847</v>
      </c>
      <c r="AF49" s="9"/>
      <c r="AG49" s="112" t="s">
        <v>40</v>
      </c>
      <c r="AH49" s="70">
        <v>1.04172835154168</v>
      </c>
      <c r="AI49" s="70">
        <v>3.9638563890081202</v>
      </c>
      <c r="AJ49" s="222">
        <v>0.497992019859062</v>
      </c>
      <c r="AK49" s="71">
        <v>0.49417002346723699</v>
      </c>
      <c r="AL49" s="72">
        <v>0.46962669000000001</v>
      </c>
      <c r="AM49" s="72">
        <v>0.44867973</v>
      </c>
      <c r="AN49" s="70">
        <v>1.81389311994316</v>
      </c>
      <c r="AO49" s="70">
        <v>6.5247184577360802</v>
      </c>
      <c r="AP49" s="71">
        <v>0.53005068700548896</v>
      </c>
      <c r="AQ49" s="71">
        <v>0.51588314278958403</v>
      </c>
      <c r="AR49" s="72">
        <v>0.64488842999999996</v>
      </c>
      <c r="AS49" s="72">
        <v>0.60715547999999997</v>
      </c>
      <c r="AT49" s="70">
        <v>1.56822007177712</v>
      </c>
      <c r="AU49" s="70">
        <v>5.5793952493624799</v>
      </c>
      <c r="AV49" s="71">
        <v>0.483786025925662</v>
      </c>
      <c r="AW49" s="71">
        <v>0.47781854844194199</v>
      </c>
      <c r="AX49" s="72">
        <v>0.52513452000000005</v>
      </c>
      <c r="AY49" s="72">
        <v>0.48682821999999998</v>
      </c>
      <c r="AZ49" s="70">
        <v>0.68344080734712198</v>
      </c>
      <c r="BA49" s="70">
        <v>2.5503794475167401</v>
      </c>
      <c r="BB49" s="71">
        <v>0.66547512809874498</v>
      </c>
      <c r="BC49" s="71">
        <v>0.65672323300767199</v>
      </c>
      <c r="BD49" s="72">
        <v>0.48450599</v>
      </c>
      <c r="BE49" s="72">
        <v>0.47248498</v>
      </c>
      <c r="BG49" s="31">
        <v>1.0785177180910801</v>
      </c>
      <c r="BH49" s="31">
        <v>4.1096892385463804</v>
      </c>
      <c r="BI49" s="34">
        <v>0.56780037999999999</v>
      </c>
      <c r="BJ49" s="34">
        <v>0.57093207999999995</v>
      </c>
      <c r="BK49" s="37">
        <v>0.70719085000000004</v>
      </c>
      <c r="BL49" s="37">
        <v>0.68430173000000005</v>
      </c>
      <c r="BM49" s="31">
        <v>1.84983258413118</v>
      </c>
      <c r="BN49" s="31">
        <v>6.6885375250420998</v>
      </c>
      <c r="BO49" s="34">
        <v>0.62014893000000004</v>
      </c>
      <c r="BP49" s="34">
        <v>0.61887923</v>
      </c>
      <c r="BQ49" s="37">
        <v>0.78465461000000003</v>
      </c>
      <c r="BR49" s="37">
        <v>0.76573994999999995</v>
      </c>
      <c r="BS49" s="31">
        <v>1.603916329702</v>
      </c>
      <c r="BT49" s="31">
        <v>5.7139485296725203</v>
      </c>
      <c r="BU49" s="34">
        <v>0.57054651000000001</v>
      </c>
      <c r="BV49" s="34">
        <v>0.56352005999999999</v>
      </c>
      <c r="BW49" s="37">
        <v>0.65567692</v>
      </c>
      <c r="BX49" s="37">
        <v>0.62442518000000002</v>
      </c>
      <c r="BY49" s="31">
        <v>0.72650945996861005</v>
      </c>
      <c r="BZ49" s="31">
        <v>2.7505071242613002</v>
      </c>
      <c r="CA49" s="34">
        <v>0.75928666</v>
      </c>
      <c r="CB49" s="34">
        <v>0.75936879000000002</v>
      </c>
      <c r="CC49" s="37">
        <v>0.95337636000000003</v>
      </c>
      <c r="CD49" s="95">
        <v>0.92423670000000002</v>
      </c>
      <c r="CE49" s="99" t="s">
        <v>51</v>
      </c>
    </row>
    <row r="50" spans="1:83" s="7" customFormat="1" ht="35.25" customHeight="1">
      <c r="A50" s="120"/>
      <c r="B50" s="120"/>
      <c r="C50" s="117" t="s">
        <v>66</v>
      </c>
      <c r="D50" s="85" t="s">
        <v>43</v>
      </c>
      <c r="E50" s="87" t="s">
        <v>45</v>
      </c>
      <c r="F50" s="129"/>
      <c r="G50" s="126"/>
      <c r="H50" s="126"/>
      <c r="I50" s="10" t="e">
        <f t="shared" si="16"/>
        <v>#DIV/0!</v>
      </c>
      <c r="J50" s="11" t="e">
        <f t="shared" si="17"/>
        <v>#DIV/0!</v>
      </c>
      <c r="K50" s="11" t="e">
        <f t="shared" si="24"/>
        <v>#DIV/0!</v>
      </c>
      <c r="L50" s="13" t="e">
        <f t="shared" si="18"/>
        <v>#DIV/0!</v>
      </c>
      <c r="M50" s="12" t="e">
        <f t="shared" si="25"/>
        <v>#DIV/0!</v>
      </c>
      <c r="O50" s="30" t="e">
        <f t="shared" si="26"/>
        <v>#DIV/0!</v>
      </c>
      <c r="P50" s="33" t="e">
        <f t="shared" si="27"/>
        <v>#DIV/0!</v>
      </c>
      <c r="Q50" s="33" t="e">
        <f t="shared" si="28"/>
        <v>#DIV/0!</v>
      </c>
      <c r="R50" s="36" t="e">
        <f t="shared" si="29"/>
        <v>#DIV/0!</v>
      </c>
      <c r="S50" s="36" t="e">
        <f t="shared" si="30"/>
        <v>#DIV/0!</v>
      </c>
      <c r="T50" s="16"/>
      <c r="U50" s="58" t="e">
        <f t="shared" si="12"/>
        <v>#DIV/0!</v>
      </c>
      <c r="V50" s="55" t="e">
        <f t="shared" si="19"/>
        <v>#DIV/0!</v>
      </c>
      <c r="W50" s="25" t="e">
        <f t="shared" si="20"/>
        <v>#DIV/0!</v>
      </c>
      <c r="X50" s="24"/>
      <c r="Y50" s="53" t="e">
        <f>(I50-I49)/I49*100</f>
        <v>#DIV/0!</v>
      </c>
      <c r="Z50" s="51" t="e">
        <f>(K50-K49)/K49 *100</f>
        <v>#DIV/0!</v>
      </c>
      <c r="AA50" s="27" t="e">
        <f>(M50-M49)/M49 *100</f>
        <v>#DIV/0!</v>
      </c>
      <c r="AB50" s="41"/>
      <c r="AC50" s="25" t="e">
        <f t="shared" si="21"/>
        <v>#DIV/0!</v>
      </c>
      <c r="AD50" s="25" t="e">
        <f t="shared" si="22"/>
        <v>#DIV/0!</v>
      </c>
      <c r="AE50" s="25" t="e">
        <f t="shared" si="23"/>
        <v>#DIV/0!</v>
      </c>
      <c r="AF50" s="9"/>
      <c r="AG50" s="112" t="s">
        <v>67</v>
      </c>
      <c r="AH50" s="70"/>
      <c r="AI50" s="70"/>
      <c r="AJ50" s="222"/>
      <c r="AK50" s="71"/>
      <c r="AL50" s="72"/>
      <c r="AM50" s="72"/>
      <c r="AN50" s="70"/>
      <c r="AO50" s="70"/>
      <c r="AP50" s="71"/>
      <c r="AQ50" s="71"/>
      <c r="AR50" s="72"/>
      <c r="AS50" s="72"/>
      <c r="AT50" s="70"/>
      <c r="AU50" s="70"/>
      <c r="AV50" s="71"/>
      <c r="AW50" s="71"/>
      <c r="AX50" s="72"/>
      <c r="AY50" s="72"/>
      <c r="AZ50" s="70"/>
      <c r="BA50" s="70"/>
      <c r="BB50" s="71"/>
      <c r="BC50" s="71"/>
      <c r="BD50" s="72"/>
      <c r="BE50" s="72"/>
      <c r="BG50" s="31"/>
      <c r="BH50" s="31"/>
      <c r="BI50" s="34"/>
      <c r="BJ50" s="34"/>
      <c r="BK50" s="37"/>
      <c r="BL50" s="37"/>
      <c r="BM50" s="31"/>
      <c r="BN50" s="31"/>
      <c r="BO50" s="34"/>
      <c r="BP50" s="34"/>
      <c r="BQ50" s="37"/>
      <c r="BR50" s="37"/>
      <c r="BS50" s="31"/>
      <c r="BT50" s="31"/>
      <c r="BU50" s="34"/>
      <c r="BV50" s="34"/>
      <c r="BW50" s="37"/>
      <c r="BX50" s="37"/>
      <c r="BY50" s="31"/>
      <c r="BZ50" s="31"/>
      <c r="CA50" s="34"/>
      <c r="CB50" s="34"/>
      <c r="CC50" s="37"/>
      <c r="CD50" s="95"/>
      <c r="CE50" s="97"/>
    </row>
    <row r="51" spans="1:83" s="7" customFormat="1" ht="35.25" customHeight="1">
      <c r="A51" s="120"/>
      <c r="B51" s="120"/>
      <c r="C51" s="82" t="s">
        <v>65</v>
      </c>
      <c r="D51" s="83" t="s">
        <v>38</v>
      </c>
      <c r="E51" s="87" t="s">
        <v>45</v>
      </c>
      <c r="F51" s="128" t="s">
        <v>47</v>
      </c>
      <c r="G51" s="126"/>
      <c r="H51" s="126"/>
      <c r="I51" s="10">
        <f t="shared" si="16"/>
        <v>3.3878916879140593</v>
      </c>
      <c r="J51" s="11">
        <f t="shared" si="17"/>
        <v>0.83434056316596383</v>
      </c>
      <c r="K51" s="11">
        <f t="shared" si="24"/>
        <v>47.804192945977995</v>
      </c>
      <c r="L51" s="13">
        <f t="shared" si="18"/>
        <v>0.68487710874999996</v>
      </c>
      <c r="M51" s="12">
        <f t="shared" si="25"/>
        <v>39.240567816497304</v>
      </c>
      <c r="O51" s="30">
        <f t="shared" si="26"/>
        <v>3.4906853901531685</v>
      </c>
      <c r="P51" s="33">
        <f t="shared" si="27"/>
        <v>0.90931494374999999</v>
      </c>
      <c r="Q51" s="33">
        <f t="shared" si="28"/>
        <v>52.099908525050857</v>
      </c>
      <c r="R51" s="36">
        <f t="shared" si="29"/>
        <v>1.0369325625000001</v>
      </c>
      <c r="S51" s="36">
        <f t="shared" si="30"/>
        <v>59.411859470935461</v>
      </c>
      <c r="T51" s="16"/>
      <c r="U51" s="58">
        <f t="shared" si="12"/>
        <v>25.436105183029252</v>
      </c>
      <c r="V51" s="55">
        <f t="shared" si="19"/>
        <v>102.68002591110876</v>
      </c>
      <c r="W51" s="25">
        <f t="shared" si="20"/>
        <v>57.200288129825282</v>
      </c>
      <c r="X51" s="24"/>
      <c r="Y51" s="53"/>
      <c r="Z51" s="49"/>
      <c r="AA51" s="26"/>
      <c r="AB51" s="39"/>
      <c r="AC51" s="25">
        <f t="shared" si="21"/>
        <v>3.0341496041864251</v>
      </c>
      <c r="AD51" s="25">
        <f t="shared" si="22"/>
        <v>8.9860644314763647</v>
      </c>
      <c r="AE51" s="25">
        <f t="shared" si="23"/>
        <v>51.404178830352841</v>
      </c>
      <c r="AF51" s="9"/>
      <c r="AG51" s="112" t="s">
        <v>40</v>
      </c>
      <c r="AH51" s="70">
        <v>1.19264171156512</v>
      </c>
      <c r="AI51" s="70">
        <v>4.5550922460035004</v>
      </c>
      <c r="AJ51" s="222">
        <v>0.78834699863847302</v>
      </c>
      <c r="AK51" s="71">
        <v>0.77637332455632502</v>
      </c>
      <c r="AL51" s="72">
        <v>0.61331637999999999</v>
      </c>
      <c r="AM51" s="72">
        <v>0.58512138000000002</v>
      </c>
      <c r="AN51" s="70">
        <v>2.00670030225344</v>
      </c>
      <c r="AO51" s="70">
        <v>7.3056033976124297</v>
      </c>
      <c r="AP51" s="71">
        <v>0.77501480305557602</v>
      </c>
      <c r="AQ51" s="71">
        <v>0.765861580334395</v>
      </c>
      <c r="AR51" s="72">
        <v>0.76248744000000002</v>
      </c>
      <c r="AS51" s="72">
        <v>0.71191079999999995</v>
      </c>
      <c r="AT51" s="70">
        <v>1.7251902918625901</v>
      </c>
      <c r="AU51" s="70">
        <v>6.2190622943774496</v>
      </c>
      <c r="AV51" s="71">
        <v>0.65865045544825396</v>
      </c>
      <c r="AW51" s="71">
        <v>0.66241235437784796</v>
      </c>
      <c r="AX51" s="72">
        <v>0.59748791000000001</v>
      </c>
      <c r="AY51" s="72">
        <v>0.56737901000000002</v>
      </c>
      <c r="AZ51" s="70">
        <v>0.85753793583237303</v>
      </c>
      <c r="BA51" s="70">
        <v>3.24130532380557</v>
      </c>
      <c r="BB51" s="71">
        <v>1.1168780399368301</v>
      </c>
      <c r="BC51" s="71">
        <v>1.1311869489800099</v>
      </c>
      <c r="BD51" s="72">
        <v>0.80414019000000003</v>
      </c>
      <c r="BE51" s="72">
        <v>0.83717375999999999</v>
      </c>
      <c r="BG51" s="31">
        <v>1.21735353114372</v>
      </c>
      <c r="BH51" s="31">
        <v>4.6569078692048</v>
      </c>
      <c r="BI51" s="34">
        <v>0.80672204999999997</v>
      </c>
      <c r="BJ51" s="34">
        <v>0.8043612</v>
      </c>
      <c r="BK51" s="37">
        <v>0.92748176000000004</v>
      </c>
      <c r="BL51" s="37">
        <v>0.89346502000000005</v>
      </c>
      <c r="BM51" s="31">
        <v>2.0536277091886701</v>
      </c>
      <c r="BN51" s="31">
        <v>7.50201232639116</v>
      </c>
      <c r="BO51" s="34">
        <v>0.91196093</v>
      </c>
      <c r="BP51" s="34">
        <v>0.89243651999999996</v>
      </c>
      <c r="BQ51" s="37">
        <v>1.0188345299999999</v>
      </c>
      <c r="BR51" s="37">
        <v>0.98121696000000003</v>
      </c>
      <c r="BS51" s="31">
        <v>1.76474317357069</v>
      </c>
      <c r="BT51" s="31">
        <v>6.3850035642874996</v>
      </c>
      <c r="BU51" s="34">
        <v>0.76416430000000002</v>
      </c>
      <c r="BV51" s="34">
        <v>0.75348066999999996</v>
      </c>
      <c r="BW51" s="37">
        <v>0.86682583999999996</v>
      </c>
      <c r="BX51" s="37">
        <v>0.82267374999999998</v>
      </c>
      <c r="BY51" s="31">
        <v>0.90897947295330905</v>
      </c>
      <c r="BZ51" s="31">
        <v>3.4368554744855002</v>
      </c>
      <c r="CA51" s="34">
        <v>1.16674006</v>
      </c>
      <c r="CB51" s="34">
        <v>1.1746538200000001</v>
      </c>
      <c r="CC51" s="37">
        <v>1.3988673700000001</v>
      </c>
      <c r="CD51" s="95">
        <v>1.38609527</v>
      </c>
      <c r="CE51" s="99" t="s">
        <v>51</v>
      </c>
    </row>
    <row r="52" spans="1:83" s="7" customFormat="1" ht="35.25" customHeight="1">
      <c r="A52" s="120"/>
      <c r="B52" s="120"/>
      <c r="C52" s="117" t="s">
        <v>66</v>
      </c>
      <c r="D52" s="85" t="s">
        <v>43</v>
      </c>
      <c r="E52" s="87" t="s">
        <v>45</v>
      </c>
      <c r="F52" s="129"/>
      <c r="G52" s="126"/>
      <c r="H52" s="126"/>
      <c r="I52" s="10" t="e">
        <f t="shared" si="16"/>
        <v>#DIV/0!</v>
      </c>
      <c r="J52" s="11" t="e">
        <f t="shared" si="17"/>
        <v>#DIV/0!</v>
      </c>
      <c r="K52" s="11" t="e">
        <f t="shared" si="24"/>
        <v>#DIV/0!</v>
      </c>
      <c r="L52" s="13" t="e">
        <f t="shared" si="18"/>
        <v>#DIV/0!</v>
      </c>
      <c r="M52" s="12" t="e">
        <f t="shared" si="25"/>
        <v>#DIV/0!</v>
      </c>
      <c r="O52" s="30" t="e">
        <f t="shared" si="26"/>
        <v>#DIV/0!</v>
      </c>
      <c r="P52" s="33" t="e">
        <f t="shared" si="27"/>
        <v>#DIV/0!</v>
      </c>
      <c r="Q52" s="33" t="e">
        <f t="shared" si="28"/>
        <v>#DIV/0!</v>
      </c>
      <c r="R52" s="36" t="e">
        <f t="shared" si="29"/>
        <v>#DIV/0!</v>
      </c>
      <c r="S52" s="36" t="e">
        <f t="shared" si="30"/>
        <v>#DIV/0!</v>
      </c>
      <c r="T52" s="16"/>
      <c r="U52" s="58" t="e">
        <f t="shared" si="12"/>
        <v>#DIV/0!</v>
      </c>
      <c r="V52" s="55" t="e">
        <f t="shared" si="19"/>
        <v>#DIV/0!</v>
      </c>
      <c r="W52" s="25" t="e">
        <f t="shared" si="20"/>
        <v>#DIV/0!</v>
      </c>
      <c r="X52" s="24"/>
      <c r="Y52" s="53" t="e">
        <f>(I52-I51)/I51*100</f>
        <v>#DIV/0!</v>
      </c>
      <c r="Z52" s="51" t="e">
        <f>(K52-K51)/K51 *100</f>
        <v>#DIV/0!</v>
      </c>
      <c r="AA52" s="27" t="e">
        <f>(M52-M51)/M51 *100</f>
        <v>#DIV/0!</v>
      </c>
      <c r="AB52" s="41"/>
      <c r="AC52" s="25" t="e">
        <f t="shared" si="21"/>
        <v>#DIV/0!</v>
      </c>
      <c r="AD52" s="25" t="e">
        <f t="shared" si="22"/>
        <v>#DIV/0!</v>
      </c>
      <c r="AE52" s="25" t="e">
        <f t="shared" si="23"/>
        <v>#DIV/0!</v>
      </c>
      <c r="AF52" s="9"/>
      <c r="AG52" s="112" t="s">
        <v>67</v>
      </c>
      <c r="AH52" s="70"/>
      <c r="AI52" s="70"/>
      <c r="AJ52" s="222"/>
      <c r="AK52" s="71"/>
      <c r="AL52" s="72"/>
      <c r="AM52" s="72"/>
      <c r="AN52" s="70"/>
      <c r="AO52" s="70"/>
      <c r="AP52" s="71"/>
      <c r="AQ52" s="71"/>
      <c r="AR52" s="72"/>
      <c r="AS52" s="72"/>
      <c r="AT52" s="70"/>
      <c r="AU52" s="70"/>
      <c r="AV52" s="71"/>
      <c r="AW52" s="71"/>
      <c r="AX52" s="72"/>
      <c r="AY52" s="72"/>
      <c r="AZ52" s="70"/>
      <c r="BA52" s="70"/>
      <c r="BB52" s="71"/>
      <c r="BC52" s="71"/>
      <c r="BD52" s="72"/>
      <c r="BE52" s="72"/>
      <c r="BG52" s="31"/>
      <c r="BH52" s="31"/>
      <c r="BI52" s="34"/>
      <c r="BJ52" s="34"/>
      <c r="BK52" s="37"/>
      <c r="BL52" s="37"/>
      <c r="BM52" s="31"/>
      <c r="BN52" s="31"/>
      <c r="BO52" s="34"/>
      <c r="BP52" s="34"/>
      <c r="BQ52" s="37"/>
      <c r="BR52" s="37"/>
      <c r="BS52" s="31"/>
      <c r="BT52" s="31"/>
      <c r="BU52" s="34"/>
      <c r="BV52" s="34"/>
      <c r="BW52" s="37"/>
      <c r="BX52" s="37"/>
      <c r="BY52" s="31"/>
      <c r="BZ52" s="31"/>
      <c r="CA52" s="34"/>
      <c r="CB52" s="34"/>
      <c r="CC52" s="37"/>
      <c r="CD52" s="95"/>
      <c r="CE52" s="97"/>
    </row>
    <row r="53" spans="1:83" s="7" customFormat="1" ht="35.25" customHeight="1">
      <c r="A53" s="120"/>
      <c r="B53" s="120"/>
      <c r="C53" s="82" t="s">
        <v>65</v>
      </c>
      <c r="D53" s="83" t="s">
        <v>38</v>
      </c>
      <c r="E53" s="87" t="s">
        <v>45</v>
      </c>
      <c r="F53" s="128" t="s">
        <v>48</v>
      </c>
      <c r="G53" s="126"/>
      <c r="H53" s="126"/>
      <c r="I53" s="10">
        <f t="shared" si="16"/>
        <v>3.6675128519130142</v>
      </c>
      <c r="J53" s="11">
        <f t="shared" si="17"/>
        <v>1.1316412303203711</v>
      </c>
      <c r="K53" s="11">
        <f t="shared" si="24"/>
        <v>64.8382664203492</v>
      </c>
      <c r="L53" s="13">
        <f t="shared" si="18"/>
        <v>0.97819566874999997</v>
      </c>
      <c r="M53" s="12">
        <f t="shared" si="25"/>
        <v>56.046483357352109</v>
      </c>
      <c r="O53" s="30">
        <f t="shared" si="26"/>
        <v>3.5859778364892372</v>
      </c>
      <c r="P53" s="33">
        <f t="shared" si="27"/>
        <v>1.03691587125</v>
      </c>
      <c r="Q53" s="33">
        <f t="shared" si="28"/>
        <v>59.410903132755656</v>
      </c>
      <c r="R53" s="36">
        <f t="shared" si="29"/>
        <v>1.0121346575000001</v>
      </c>
      <c r="S53" s="36">
        <f t="shared" si="30"/>
        <v>57.991044173669096</v>
      </c>
      <c r="T53" s="16"/>
      <c r="U53" s="58">
        <f t="shared" si="12"/>
        <v>35.789030533003938</v>
      </c>
      <c r="V53" s="55">
        <f t="shared" si="19"/>
        <v>174.90102244709902</v>
      </c>
      <c r="W53" s="25">
        <f t="shared" si="20"/>
        <v>124.52588794434153</v>
      </c>
      <c r="X53" s="24"/>
      <c r="Y53" s="53"/>
      <c r="Z53" s="49"/>
      <c r="AA53" s="26"/>
      <c r="AB53" s="39"/>
      <c r="AC53" s="25">
        <f t="shared" si="21"/>
        <v>-2.223169180750042</v>
      </c>
      <c r="AD53" s="25">
        <f t="shared" si="22"/>
        <v>-8.3706175183767542</v>
      </c>
      <c r="AE53" s="25">
        <f t="shared" si="23"/>
        <v>3.4695500945500473</v>
      </c>
      <c r="AF53" s="9"/>
      <c r="AG53" s="112" t="s">
        <v>40</v>
      </c>
      <c r="AH53" s="70">
        <v>1.31813546857324</v>
      </c>
      <c r="AI53" s="70">
        <v>5.0830434146923604</v>
      </c>
      <c r="AJ53" s="222">
        <v>1.1732095335252199</v>
      </c>
      <c r="AK53" s="71">
        <v>1.1772816414584699</v>
      </c>
      <c r="AL53" s="72">
        <v>1.0508090000000001</v>
      </c>
      <c r="AM53" s="72">
        <v>1.05573114</v>
      </c>
      <c r="AN53" s="70">
        <v>2.15477376917964</v>
      </c>
      <c r="AO53" s="70">
        <v>7.9160757757885198</v>
      </c>
      <c r="AP53" s="71">
        <v>1.1391711049511799</v>
      </c>
      <c r="AQ53" s="71">
        <v>1.15964636256186</v>
      </c>
      <c r="AR53" s="72">
        <v>1.09654871</v>
      </c>
      <c r="AS53" s="72">
        <v>1.0554086499999999</v>
      </c>
      <c r="AT53" s="70">
        <v>1.82931864130331</v>
      </c>
      <c r="AU53" s="70">
        <v>6.6259776678686997</v>
      </c>
      <c r="AV53" s="71">
        <v>0.88673154653332997</v>
      </c>
      <c r="AW53" s="71">
        <v>0.86782114040915104</v>
      </c>
      <c r="AX53" s="72">
        <v>0.70288130000000004</v>
      </c>
      <c r="AY53" s="72">
        <v>0.66447820000000002</v>
      </c>
      <c r="AZ53" s="70">
        <v>0.92230194539606503</v>
      </c>
      <c r="BA53" s="70">
        <v>3.4904761325022799</v>
      </c>
      <c r="BB53" s="71">
        <v>1.31963726120896</v>
      </c>
      <c r="BC53" s="71">
        <v>1.3296312519147999</v>
      </c>
      <c r="BD53" s="72">
        <v>1.1020164299999999</v>
      </c>
      <c r="BE53" s="72">
        <v>1.0976919199999999</v>
      </c>
      <c r="BG53" s="31">
        <v>1.29978777984467</v>
      </c>
      <c r="BH53" s="31">
        <v>4.9942014846869203</v>
      </c>
      <c r="BI53" s="34">
        <v>1.0658188399999999</v>
      </c>
      <c r="BJ53" s="34">
        <v>1.06130342</v>
      </c>
      <c r="BK53" s="37">
        <v>1.0388079699999999</v>
      </c>
      <c r="BL53" s="37">
        <v>0.99074194999999998</v>
      </c>
      <c r="BM53" s="31">
        <v>2.1190305666685201</v>
      </c>
      <c r="BN53" s="31">
        <v>7.7785633816947701</v>
      </c>
      <c r="BO53" s="34">
        <v>1.0580568800000001</v>
      </c>
      <c r="BP53" s="34">
        <v>1.0527515599999999</v>
      </c>
      <c r="BQ53" s="37">
        <v>1.0949594300000001</v>
      </c>
      <c r="BR53" s="37">
        <v>1.08274991</v>
      </c>
      <c r="BS53" s="31">
        <v>1.82735414122256</v>
      </c>
      <c r="BT53" s="31">
        <v>6.6431757096936801</v>
      </c>
      <c r="BU53" s="34">
        <v>0.88350565999999997</v>
      </c>
      <c r="BV53" s="34">
        <v>0.87793213999999997</v>
      </c>
      <c r="BW53" s="37">
        <v>0.82255197999999996</v>
      </c>
      <c r="BX53" s="37">
        <v>0.79148359999999995</v>
      </c>
      <c r="BY53" s="31">
        <v>0.85043488167674797</v>
      </c>
      <c r="BZ53" s="31">
        <v>3.1752747464260298</v>
      </c>
      <c r="CA53" s="34">
        <v>1.1426067799999999</v>
      </c>
      <c r="CB53" s="34">
        <v>1.15335169</v>
      </c>
      <c r="CC53" s="37">
        <v>1.08968201</v>
      </c>
      <c r="CD53" s="95">
        <v>1.1861004100000001</v>
      </c>
      <c r="CE53" s="97" t="s">
        <v>51</v>
      </c>
    </row>
    <row r="54" spans="1:83" s="7" customFormat="1" ht="35.25" customHeight="1">
      <c r="A54" s="121"/>
      <c r="B54" s="121"/>
      <c r="C54" s="89" t="s">
        <v>68</v>
      </c>
      <c r="D54" s="85" t="s">
        <v>43</v>
      </c>
      <c r="E54" s="87" t="s">
        <v>45</v>
      </c>
      <c r="F54" s="129"/>
      <c r="G54" s="127"/>
      <c r="H54" s="127"/>
      <c r="I54" s="10" t="e">
        <f t="shared" si="16"/>
        <v>#DIV/0!</v>
      </c>
      <c r="J54" s="11" t="e">
        <f t="shared" si="17"/>
        <v>#DIV/0!</v>
      </c>
      <c r="K54" s="11" t="e">
        <f t="shared" si="24"/>
        <v>#DIV/0!</v>
      </c>
      <c r="L54" s="13" t="e">
        <f t="shared" si="18"/>
        <v>#DIV/0!</v>
      </c>
      <c r="M54" s="12" t="e">
        <f t="shared" si="25"/>
        <v>#DIV/0!</v>
      </c>
      <c r="O54" s="30" t="e">
        <f t="shared" si="26"/>
        <v>#DIV/0!</v>
      </c>
      <c r="P54" s="33" t="e">
        <f t="shared" si="27"/>
        <v>#DIV/0!</v>
      </c>
      <c r="Q54" s="33" t="e">
        <f t="shared" si="28"/>
        <v>#DIV/0!</v>
      </c>
      <c r="R54" s="36" t="e">
        <f t="shared" si="29"/>
        <v>#DIV/0!</v>
      </c>
      <c r="S54" s="36" t="e">
        <f t="shared" si="30"/>
        <v>#DIV/0!</v>
      </c>
      <c r="T54" s="16"/>
      <c r="U54" s="58" t="e">
        <f t="shared" si="12"/>
        <v>#DIV/0!</v>
      </c>
      <c r="V54" s="55" t="e">
        <f t="shared" si="19"/>
        <v>#DIV/0!</v>
      </c>
      <c r="W54" s="25" t="e">
        <f t="shared" si="20"/>
        <v>#DIV/0!</v>
      </c>
      <c r="X54" s="24"/>
      <c r="Y54" s="53" t="e">
        <f>(I54-I53)/I53*100</f>
        <v>#DIV/0!</v>
      </c>
      <c r="Z54" s="51" t="e">
        <f>(K54-K53)/K53 *100</f>
        <v>#DIV/0!</v>
      </c>
      <c r="AA54" s="27" t="e">
        <f>(M54-M53)/M53 *100</f>
        <v>#DIV/0!</v>
      </c>
      <c r="AB54" s="41"/>
      <c r="AC54" s="25" t="e">
        <f t="shared" si="21"/>
        <v>#DIV/0!</v>
      </c>
      <c r="AD54" s="25" t="e">
        <f t="shared" si="22"/>
        <v>#DIV/0!</v>
      </c>
      <c r="AE54" s="25" t="e">
        <f t="shared" si="23"/>
        <v>#DIV/0!</v>
      </c>
      <c r="AF54" s="9"/>
      <c r="AG54" s="112" t="s">
        <v>40</v>
      </c>
      <c r="AH54" s="70"/>
      <c r="AI54" s="70"/>
      <c r="AJ54" s="222"/>
      <c r="AK54" s="71"/>
      <c r="AL54" s="72"/>
      <c r="AM54" s="72"/>
      <c r="AN54" s="70"/>
      <c r="AO54" s="70"/>
      <c r="AP54" s="71"/>
      <c r="AQ54" s="71"/>
      <c r="AR54" s="72"/>
      <c r="AS54" s="72"/>
      <c r="AT54" s="70"/>
      <c r="AU54" s="70"/>
      <c r="AV54" s="71"/>
      <c r="AW54" s="71"/>
      <c r="AX54" s="72"/>
      <c r="AY54" s="72"/>
      <c r="AZ54" s="70"/>
      <c r="BA54" s="70"/>
      <c r="BB54" s="71"/>
      <c r="BC54" s="71"/>
      <c r="BD54" s="72"/>
      <c r="BE54" s="72"/>
      <c r="BG54" s="31"/>
      <c r="BH54" s="31"/>
      <c r="BI54" s="34"/>
      <c r="BJ54" s="34"/>
      <c r="BK54" s="37"/>
      <c r="BL54" s="37"/>
      <c r="BM54" s="31"/>
      <c r="BN54" s="31"/>
      <c r="BO54" s="34"/>
      <c r="BP54" s="34"/>
      <c r="BQ54" s="37"/>
      <c r="BR54" s="37"/>
      <c r="BS54" s="31"/>
      <c r="BT54" s="31"/>
      <c r="BU54" s="34"/>
      <c r="BV54" s="34"/>
      <c r="BW54" s="37"/>
      <c r="BX54" s="37"/>
      <c r="BY54" s="31"/>
      <c r="BZ54" s="31"/>
      <c r="CA54" s="34"/>
      <c r="CB54" s="34"/>
      <c r="CC54" s="37"/>
      <c r="CD54" s="95"/>
      <c r="CE54" s="97"/>
    </row>
    <row r="55" spans="1:83" s="7" customFormat="1" ht="35.25" customHeight="1">
      <c r="A55" s="122" t="s">
        <v>69</v>
      </c>
      <c r="B55" s="122" t="s">
        <v>36</v>
      </c>
      <c r="C55" s="81" t="s">
        <v>70</v>
      </c>
      <c r="D55" s="83" t="s">
        <v>38</v>
      </c>
      <c r="E55" s="86" t="s">
        <v>38</v>
      </c>
      <c r="F55" s="123" t="s">
        <v>39</v>
      </c>
      <c r="G55" s="125">
        <v>8</v>
      </c>
      <c r="H55" s="125">
        <v>6</v>
      </c>
      <c r="I55" s="10">
        <f t="shared" si="16"/>
        <v>3.3748449286256279</v>
      </c>
      <c r="J55" s="11">
        <f t="shared" si="17"/>
        <v>0.93573380105423642</v>
      </c>
      <c r="K55" s="11">
        <f t="shared" si="24"/>
        <v>53.613597548141968</v>
      </c>
      <c r="L55" s="13">
        <f t="shared" si="18"/>
        <v>0.74646186874999998</v>
      </c>
      <c r="M55" s="12">
        <f t="shared" si="25"/>
        <v>42.769114646823397</v>
      </c>
      <c r="O55" s="30">
        <f t="shared" si="26"/>
        <v>3.3177416687814532</v>
      </c>
      <c r="P55" s="33">
        <f t="shared" si="27"/>
        <v>0.86164147375</v>
      </c>
      <c r="Q55" s="33">
        <f t="shared" si="28"/>
        <v>49.368419899307312</v>
      </c>
      <c r="R55" s="36">
        <f t="shared" si="29"/>
        <v>0.67570994750000002</v>
      </c>
      <c r="S55" s="36">
        <f t="shared" si="30"/>
        <v>38.715328166756436</v>
      </c>
      <c r="T55" s="16"/>
      <c r="U55" s="58">
        <f t="shared" si="12"/>
        <v>24.953051171521299</v>
      </c>
      <c r="V55" s="55">
        <f t="shared" si="19"/>
        <v>127.3107162906181</v>
      </c>
      <c r="W55" s="25">
        <f t="shared" si="20"/>
        <v>71.335878139652934</v>
      </c>
      <c r="X55" s="24"/>
      <c r="Y55" s="53"/>
      <c r="Z55" s="49"/>
      <c r="AA55" s="26"/>
      <c r="AB55" s="39"/>
      <c r="AC55" s="25">
        <f t="shared" si="21"/>
        <v>-1.692026183479473</v>
      </c>
      <c r="AD55" s="25">
        <f t="shared" si="22"/>
        <v>-7.9180988461420201</v>
      </c>
      <c r="AE55" s="25">
        <f t="shared" si="23"/>
        <v>-9.4783034756321491</v>
      </c>
      <c r="AF55" s="9"/>
      <c r="AG55" s="112" t="s">
        <v>40</v>
      </c>
      <c r="AH55" s="70">
        <v>1.2111828650059699</v>
      </c>
      <c r="AI55" s="70">
        <v>4.6575942533088002</v>
      </c>
      <c r="AJ55" s="222">
        <v>0.98510355467166</v>
      </c>
      <c r="AK55" s="71">
        <v>0.99196753121581005</v>
      </c>
      <c r="AL55" s="72">
        <v>0.70877378000000002</v>
      </c>
      <c r="AM55" s="72">
        <v>0.69736717999999998</v>
      </c>
      <c r="AN55" s="70">
        <v>2.0164467276118199</v>
      </c>
      <c r="AO55" s="70">
        <v>7.3467984223704699</v>
      </c>
      <c r="AP55" s="71">
        <v>1.0251044230480699</v>
      </c>
      <c r="AQ55" s="71">
        <v>1.0305750898828001</v>
      </c>
      <c r="AR55" s="72">
        <v>0.86716278999999996</v>
      </c>
      <c r="AS55" s="72">
        <v>0.83255139</v>
      </c>
      <c r="AT55" s="70">
        <v>1.75073951189884</v>
      </c>
      <c r="AU55" s="70">
        <v>6.3131579683424297</v>
      </c>
      <c r="AV55" s="71">
        <v>0.94148038877614004</v>
      </c>
      <c r="AW55" s="71">
        <v>0.93547824827950998</v>
      </c>
      <c r="AX55" s="72">
        <v>0.76320748000000005</v>
      </c>
      <c r="AY55" s="72">
        <v>0.72854065000000001</v>
      </c>
      <c r="AZ55" s="70">
        <v>0.76887927759046004</v>
      </c>
      <c r="BA55" s="70">
        <v>2.9339604028762301</v>
      </c>
      <c r="BB55" s="71">
        <v>0.78577686452516005</v>
      </c>
      <c r="BC55" s="71">
        <v>0.79038430803474002</v>
      </c>
      <c r="BD55" s="72">
        <v>0.69852740999999996</v>
      </c>
      <c r="BE55" s="72">
        <v>0.67556426999999997</v>
      </c>
      <c r="BG55" s="31">
        <v>1.1769381987449301</v>
      </c>
      <c r="BH55" s="31">
        <v>4.5363519327600903</v>
      </c>
      <c r="BI55" s="34">
        <v>0.87439591999999999</v>
      </c>
      <c r="BJ55" s="34">
        <v>0.89647821000000005</v>
      </c>
      <c r="BK55" s="37">
        <v>0.61520666999999996</v>
      </c>
      <c r="BL55" s="37">
        <v>0.61226068</v>
      </c>
      <c r="BM55" s="31">
        <v>1.99317267818451</v>
      </c>
      <c r="BN55" s="31">
        <v>7.26945369110312</v>
      </c>
      <c r="BO55" s="34">
        <v>0.94364141000000001</v>
      </c>
      <c r="BP55" s="34">
        <v>0.95849209000000002</v>
      </c>
      <c r="BQ55" s="37">
        <v>0.81332605999999996</v>
      </c>
      <c r="BR55" s="37">
        <v>0.78222365999999999</v>
      </c>
      <c r="BS55" s="31">
        <v>1.72636153885056</v>
      </c>
      <c r="BT55" s="31">
        <v>6.2293201830965703</v>
      </c>
      <c r="BU55" s="34">
        <v>0.87039029000000001</v>
      </c>
      <c r="BV55" s="34">
        <v>0.87120644000000003</v>
      </c>
      <c r="BW55" s="37">
        <v>0.69660692999999996</v>
      </c>
      <c r="BX55" s="37">
        <v>0.67023537</v>
      </c>
      <c r="BY55" s="31">
        <v>0.74559253604987497</v>
      </c>
      <c r="BZ55" s="31">
        <v>2.8647425914619702</v>
      </c>
      <c r="CA55" s="34">
        <v>0.73169072000000002</v>
      </c>
      <c r="CB55" s="34">
        <v>0.74683670999999996</v>
      </c>
      <c r="CC55" s="37">
        <v>0.61044010999999998</v>
      </c>
      <c r="CD55" s="95">
        <v>0.60538009999999998</v>
      </c>
      <c r="CE55" s="97" t="s">
        <v>62</v>
      </c>
    </row>
    <row r="56" spans="1:83" s="7" customFormat="1" ht="35.25" customHeight="1">
      <c r="A56" s="120"/>
      <c r="B56" s="120"/>
      <c r="C56" s="90" t="s">
        <v>71</v>
      </c>
      <c r="D56" s="85" t="s">
        <v>43</v>
      </c>
      <c r="E56" s="86" t="s">
        <v>38</v>
      </c>
      <c r="F56" s="124"/>
      <c r="G56" s="126"/>
      <c r="H56" s="126"/>
      <c r="I56" s="10">
        <f t="shared" si="16"/>
        <v>3.2359397976081352</v>
      </c>
      <c r="J56" s="11">
        <f t="shared" si="17"/>
        <v>0.76599345518285267</v>
      </c>
      <c r="K56" s="11">
        <f t="shared" si="24"/>
        <v>43.888192116620836</v>
      </c>
      <c r="L56" s="13">
        <f t="shared" si="18"/>
        <v>0.68699900250000001</v>
      </c>
      <c r="M56" s="12">
        <f t="shared" si="25"/>
        <v>39.362143372947493</v>
      </c>
      <c r="O56" s="30" t="e">
        <f t="shared" si="26"/>
        <v>#DIV/0!</v>
      </c>
      <c r="P56" s="33" t="e">
        <f t="shared" si="27"/>
        <v>#DIV/0!</v>
      </c>
      <c r="Q56" s="33" t="e">
        <f t="shared" si="28"/>
        <v>#DIV/0!</v>
      </c>
      <c r="R56" s="36" t="e">
        <f t="shared" si="29"/>
        <v>#DIV/0!</v>
      </c>
      <c r="S56" s="36" t="e">
        <f t="shared" si="30"/>
        <v>#DIV/0!</v>
      </c>
      <c r="T56" s="16"/>
      <c r="U56" s="58">
        <f t="shared" si="12"/>
        <v>19.810112662911379</v>
      </c>
      <c r="V56" s="55">
        <f t="shared" si="19"/>
        <v>86.076981269000441</v>
      </c>
      <c r="W56" s="25">
        <f t="shared" si="20"/>
        <v>57.687327782077169</v>
      </c>
      <c r="X56" s="24"/>
      <c r="Y56" s="53">
        <f>(I56-I55)/I55*100</f>
        <v>-4.1158966991132369</v>
      </c>
      <c r="Z56" s="51">
        <f>(K56-K55)/K55 *100</f>
        <v>-18.139811309599715</v>
      </c>
      <c r="AA56" s="27">
        <f>(M56-M55)/M55 *100</f>
        <v>-7.9659616571673659</v>
      </c>
      <c r="AB56" s="41"/>
      <c r="AC56" s="25" t="e">
        <f t="shared" si="21"/>
        <v>#DIV/0!</v>
      </c>
      <c r="AD56" s="25" t="e">
        <f t="shared" si="22"/>
        <v>#DIV/0!</v>
      </c>
      <c r="AE56" s="25" t="e">
        <f t="shared" si="23"/>
        <v>#DIV/0!</v>
      </c>
      <c r="AF56" s="9"/>
      <c r="AG56" s="112" t="s">
        <v>40</v>
      </c>
      <c r="AH56" s="70">
        <v>1.10319718018497</v>
      </c>
      <c r="AI56" s="70">
        <v>4.2332595463248799</v>
      </c>
      <c r="AJ56" s="222">
        <v>0.65103955244184797</v>
      </c>
      <c r="AK56" s="71">
        <v>0.65443834256996203</v>
      </c>
      <c r="AL56" s="72">
        <v>0.52657072000000005</v>
      </c>
      <c r="AM56" s="72">
        <v>0.51168086999999995</v>
      </c>
      <c r="AN56" s="70">
        <v>1.9388596131226301</v>
      </c>
      <c r="AO56" s="70">
        <v>7.0512828419604698</v>
      </c>
      <c r="AP56" s="71">
        <v>0.87027033281281696</v>
      </c>
      <c r="AQ56" s="71">
        <v>0.84561061521718695</v>
      </c>
      <c r="AR56" s="72">
        <v>0.80390139999999999</v>
      </c>
      <c r="AS56" s="72">
        <v>0.76900400000000002</v>
      </c>
      <c r="AT56" s="70">
        <v>1.6795705469112701</v>
      </c>
      <c r="AU56" s="70">
        <v>6.0195806830650396</v>
      </c>
      <c r="AV56" s="71">
        <v>0.76017158944387397</v>
      </c>
      <c r="AW56" s="71">
        <v>0.72779100537480002</v>
      </c>
      <c r="AX56" s="72">
        <v>0.63152465000000002</v>
      </c>
      <c r="AY56" s="72">
        <v>0.57904462000000001</v>
      </c>
      <c r="AZ56" s="70">
        <v>0.79055808689666396</v>
      </c>
      <c r="BA56" s="70">
        <v>3.07120988239916</v>
      </c>
      <c r="BB56" s="71">
        <v>0.79454797476967398</v>
      </c>
      <c r="BC56" s="71">
        <v>0.82407822883266002</v>
      </c>
      <c r="BD56" s="72">
        <v>0.83929527999999998</v>
      </c>
      <c r="BE56" s="72">
        <v>0.83497047999999996</v>
      </c>
      <c r="BG56" s="31"/>
      <c r="BH56" s="31"/>
      <c r="BI56" s="34"/>
      <c r="BJ56" s="34"/>
      <c r="BK56" s="37"/>
      <c r="BL56" s="37"/>
      <c r="BM56" s="31"/>
      <c r="BN56" s="31"/>
      <c r="BO56" s="34"/>
      <c r="BP56" s="34"/>
      <c r="BQ56" s="37"/>
      <c r="BR56" s="37"/>
      <c r="BS56" s="31"/>
      <c r="BT56" s="31"/>
      <c r="BU56" s="34"/>
      <c r="BV56" s="34"/>
      <c r="BW56" s="37"/>
      <c r="BX56" s="37"/>
      <c r="BY56" s="31"/>
      <c r="BZ56" s="31"/>
      <c r="CA56" s="34"/>
      <c r="CB56" s="34"/>
      <c r="CC56" s="37"/>
      <c r="CD56" s="95"/>
      <c r="CE56" s="97"/>
    </row>
    <row r="57" spans="1:83" s="7" customFormat="1" ht="35.25" customHeight="1">
      <c r="A57" s="120"/>
      <c r="B57" s="120"/>
      <c r="C57" s="82" t="s">
        <v>70</v>
      </c>
      <c r="D57" s="83" t="s">
        <v>38</v>
      </c>
      <c r="E57" s="87" t="s">
        <v>45</v>
      </c>
      <c r="F57" s="128" t="s">
        <v>36</v>
      </c>
      <c r="G57" s="126"/>
      <c r="H57" s="126"/>
      <c r="I57" s="10">
        <f t="shared" si="16"/>
        <v>3.4400032618101544</v>
      </c>
      <c r="J57" s="11">
        <f t="shared" si="17"/>
        <v>1.0334290969937212</v>
      </c>
      <c r="K57" s="11">
        <f t="shared" si="24"/>
        <v>59.211125683756016</v>
      </c>
      <c r="L57" s="13">
        <f t="shared" si="18"/>
        <v>0.75512709374999998</v>
      </c>
      <c r="M57" s="12">
        <f t="shared" si="25"/>
        <v>43.265595467854645</v>
      </c>
      <c r="O57" s="30">
        <f t="shared" si="26"/>
        <v>3.3786870841502203</v>
      </c>
      <c r="P57" s="33">
        <f t="shared" si="27"/>
        <v>0.93529854624999997</v>
      </c>
      <c r="Q57" s="33">
        <f t="shared" si="28"/>
        <v>53.588659284846429</v>
      </c>
      <c r="R57" s="36">
        <f t="shared" si="29"/>
        <v>0.65911666375</v>
      </c>
      <c r="S57" s="36">
        <f t="shared" si="30"/>
        <v>37.764603039618422</v>
      </c>
      <c r="T57" s="16"/>
      <c r="U57" s="58">
        <f t="shared" si="12"/>
        <v>27.365527214968072</v>
      </c>
      <c r="V57" s="55">
        <f t="shared" si="19"/>
        <v>151.04309367530664</v>
      </c>
      <c r="W57" s="25">
        <f t="shared" si="20"/>
        <v>73.324812868681803</v>
      </c>
      <c r="X57" s="24"/>
      <c r="Y57" s="53"/>
      <c r="Z57" s="49"/>
      <c r="AA57" s="26"/>
      <c r="AB57" s="39"/>
      <c r="AC57" s="25">
        <f t="shared" si="21"/>
        <v>-1.7824453348822993</v>
      </c>
      <c r="AD57" s="25">
        <f t="shared" si="22"/>
        <v>-9.4956249082966764</v>
      </c>
      <c r="AE57" s="25">
        <f t="shared" si="23"/>
        <v>-12.714472940337401</v>
      </c>
      <c r="AF57" s="9"/>
      <c r="AG57" s="112" t="s">
        <v>40</v>
      </c>
      <c r="AH57" s="70">
        <v>1.24359793564054</v>
      </c>
      <c r="AI57" s="70">
        <v>4.7808326909303904</v>
      </c>
      <c r="AJ57" s="222">
        <v>1.1328335725032499</v>
      </c>
      <c r="AK57" s="71">
        <v>1.1410999563969899</v>
      </c>
      <c r="AL57" s="72">
        <v>0.68861687999999999</v>
      </c>
      <c r="AM57" s="72">
        <v>0.67513964000000004</v>
      </c>
      <c r="AN57" s="70">
        <v>2.0298944518703301</v>
      </c>
      <c r="AO57" s="70">
        <v>7.41381419985062</v>
      </c>
      <c r="AP57" s="71">
        <v>1.0595088532123</v>
      </c>
      <c r="AQ57" s="71">
        <v>1.0696630978096999</v>
      </c>
      <c r="AR57" s="72">
        <v>0.87432155</v>
      </c>
      <c r="AS57" s="72">
        <v>0.85258274000000001</v>
      </c>
      <c r="AT57" s="70">
        <v>1.7506016233208099</v>
      </c>
      <c r="AU57" s="70">
        <v>6.3142211051585804</v>
      </c>
      <c r="AV57" s="71">
        <v>0.95022855128623895</v>
      </c>
      <c r="AW57" s="71">
        <v>0.954210102703001</v>
      </c>
      <c r="AX57" s="72">
        <v>0.73074866999999999</v>
      </c>
      <c r="AY57" s="72">
        <v>0.69629456000000001</v>
      </c>
      <c r="AZ57" s="70">
        <v>0.82241427904904496</v>
      </c>
      <c r="BA57" s="70">
        <v>3.1646498086609198</v>
      </c>
      <c r="BB57" s="71">
        <v>0.97088087895971398</v>
      </c>
      <c r="BC57" s="71">
        <v>0.98900776307857596</v>
      </c>
      <c r="BD57" s="72">
        <v>0.76136031999999998</v>
      </c>
      <c r="BE57" s="72">
        <v>0.76195239000000003</v>
      </c>
      <c r="BG57" s="31">
        <v>1.2105382795127599</v>
      </c>
      <c r="BH57" s="31">
        <v>4.6329672344778698</v>
      </c>
      <c r="BI57" s="34">
        <v>1.0016346199999999</v>
      </c>
      <c r="BJ57" s="34">
        <v>0.99540614000000005</v>
      </c>
      <c r="BK57" s="37">
        <v>0.61553033999999995</v>
      </c>
      <c r="BL57" s="37">
        <v>0.59009814000000005</v>
      </c>
      <c r="BM57" s="31">
        <v>2.0079109838338201</v>
      </c>
      <c r="BN57" s="31">
        <v>7.3323350720805403</v>
      </c>
      <c r="BO57" s="34">
        <v>0.95479391999999996</v>
      </c>
      <c r="BP57" s="34">
        <v>0.96515790999999995</v>
      </c>
      <c r="BQ57" s="37">
        <v>0.78795978</v>
      </c>
      <c r="BR57" s="37">
        <v>0.7671848</v>
      </c>
      <c r="BS57" s="31">
        <v>1.7349239405308301</v>
      </c>
      <c r="BT57" s="31">
        <v>6.2599106661055597</v>
      </c>
      <c r="BU57" s="34">
        <v>0.88361438999999997</v>
      </c>
      <c r="BV57" s="34">
        <v>0.87957470000000004</v>
      </c>
      <c r="BW57" s="37">
        <v>0.66335157</v>
      </c>
      <c r="BX57" s="37">
        <v>0.63619033000000003</v>
      </c>
      <c r="BY57" s="31">
        <v>0.79674152602464499</v>
      </c>
      <c r="BZ57" s="31">
        <v>3.05416897063574</v>
      </c>
      <c r="CA57" s="34">
        <v>0.89847670000000002</v>
      </c>
      <c r="CB57" s="34">
        <v>0.90372998999999998</v>
      </c>
      <c r="CC57" s="37">
        <v>0.59305618999999998</v>
      </c>
      <c r="CD57" s="95">
        <v>0.61956215999999997</v>
      </c>
      <c r="CE57" s="97" t="s">
        <v>62</v>
      </c>
    </row>
    <row r="58" spans="1:83" s="7" customFormat="1" ht="35.25" customHeight="1">
      <c r="A58" s="120"/>
      <c r="B58" s="120"/>
      <c r="C58" s="89" t="s">
        <v>71</v>
      </c>
      <c r="D58" s="85" t="s">
        <v>43</v>
      </c>
      <c r="E58" s="87" t="s">
        <v>45</v>
      </c>
      <c r="F58" s="129"/>
      <c r="G58" s="126"/>
      <c r="H58" s="126"/>
      <c r="I58" s="10" t="e">
        <f t="shared" si="16"/>
        <v>#DIV/0!</v>
      </c>
      <c r="J58" s="11" t="e">
        <f t="shared" si="17"/>
        <v>#DIV/0!</v>
      </c>
      <c r="K58" s="11" t="e">
        <f t="shared" si="24"/>
        <v>#DIV/0!</v>
      </c>
      <c r="L58" s="13" t="e">
        <f t="shared" si="18"/>
        <v>#DIV/0!</v>
      </c>
      <c r="M58" s="12" t="e">
        <f t="shared" si="25"/>
        <v>#DIV/0!</v>
      </c>
      <c r="O58" s="30" t="e">
        <f t="shared" si="26"/>
        <v>#DIV/0!</v>
      </c>
      <c r="P58" s="33" t="e">
        <f t="shared" si="27"/>
        <v>#DIV/0!</v>
      </c>
      <c r="Q58" s="33" t="e">
        <f t="shared" si="28"/>
        <v>#DIV/0!</v>
      </c>
      <c r="R58" s="36" t="e">
        <f t="shared" si="29"/>
        <v>#DIV/0!</v>
      </c>
      <c r="S58" s="36" t="e">
        <f t="shared" si="30"/>
        <v>#DIV/0!</v>
      </c>
      <c r="T58" s="16"/>
      <c r="U58" s="58" t="e">
        <f t="shared" si="12"/>
        <v>#DIV/0!</v>
      </c>
      <c r="V58" s="55" t="e">
        <f t="shared" si="19"/>
        <v>#DIV/0!</v>
      </c>
      <c r="W58" s="25" t="e">
        <f t="shared" si="20"/>
        <v>#DIV/0!</v>
      </c>
      <c r="X58" s="24"/>
      <c r="Y58" s="53" t="e">
        <f>(I58-I57)/I57*100</f>
        <v>#DIV/0!</v>
      </c>
      <c r="Z58" s="51" t="e">
        <f>(K58-K57)/K57 *100</f>
        <v>#DIV/0!</v>
      </c>
      <c r="AA58" s="27" t="e">
        <f>(M58-M57)/M57 *100</f>
        <v>#DIV/0!</v>
      </c>
      <c r="AB58" s="41"/>
      <c r="AC58" s="25" t="e">
        <f t="shared" si="21"/>
        <v>#DIV/0!</v>
      </c>
      <c r="AD58" s="25" t="e">
        <f t="shared" si="22"/>
        <v>#DIV/0!</v>
      </c>
      <c r="AE58" s="25" t="e">
        <f t="shared" si="23"/>
        <v>#DIV/0!</v>
      </c>
      <c r="AF58" s="9"/>
      <c r="AG58" s="112" t="s">
        <v>40</v>
      </c>
      <c r="AH58" s="70"/>
      <c r="AI58" s="70"/>
      <c r="AJ58" s="222"/>
      <c r="AK58" s="71"/>
      <c r="AL58" s="72"/>
      <c r="AM58" s="72"/>
      <c r="AN58" s="70"/>
      <c r="AO58" s="70"/>
      <c r="AP58" s="71"/>
      <c r="AQ58" s="71"/>
      <c r="AR58" s="72"/>
      <c r="AS58" s="72"/>
      <c r="AT58" s="70"/>
      <c r="AU58" s="70"/>
      <c r="AV58" s="71"/>
      <c r="AW58" s="71"/>
      <c r="AX58" s="72"/>
      <c r="AY58" s="72"/>
      <c r="AZ58" s="70"/>
      <c r="BA58" s="70"/>
      <c r="BB58" s="71"/>
      <c r="BC58" s="71"/>
      <c r="BD58" s="72"/>
      <c r="BE58" s="72"/>
      <c r="BG58" s="31"/>
      <c r="BH58" s="31"/>
      <c r="BI58" s="34"/>
      <c r="BJ58" s="34"/>
      <c r="BK58" s="37"/>
      <c r="BL58" s="37"/>
      <c r="BM58" s="31"/>
      <c r="BN58" s="31"/>
      <c r="BO58" s="34"/>
      <c r="BP58" s="34"/>
      <c r="BQ58" s="37"/>
      <c r="BR58" s="37"/>
      <c r="BS58" s="31"/>
      <c r="BT58" s="31"/>
      <c r="BU58" s="34"/>
      <c r="BV58" s="34"/>
      <c r="BW58" s="37"/>
      <c r="BX58" s="37"/>
      <c r="BY58" s="31"/>
      <c r="BZ58" s="31"/>
      <c r="CA58" s="34"/>
      <c r="CB58" s="34"/>
      <c r="CC58" s="37"/>
      <c r="CD58" s="95"/>
      <c r="CE58" s="97"/>
    </row>
    <row r="59" spans="1:83" s="7" customFormat="1" ht="35.25" customHeight="1">
      <c r="A59" s="120"/>
      <c r="B59" s="120"/>
      <c r="C59" s="82" t="s">
        <v>70</v>
      </c>
      <c r="D59" s="83" t="s">
        <v>38</v>
      </c>
      <c r="E59" s="87" t="s">
        <v>45</v>
      </c>
      <c r="F59" s="128" t="s">
        <v>47</v>
      </c>
      <c r="G59" s="126"/>
      <c r="H59" s="126"/>
      <c r="I59" s="10">
        <f t="shared" si="16"/>
        <v>3.6485465509491766</v>
      </c>
      <c r="J59" s="11">
        <f t="shared" si="17"/>
        <v>1.2800479550102049</v>
      </c>
      <c r="K59" s="11">
        <f t="shared" si="24"/>
        <v>73.341345396436623</v>
      </c>
      <c r="L59" s="13">
        <f t="shared" si="18"/>
        <v>0.88225549000000003</v>
      </c>
      <c r="M59" s="12">
        <f t="shared" si="25"/>
        <v>50.549516029246405</v>
      </c>
      <c r="O59" s="30">
        <f t="shared" si="26"/>
        <v>3.6053644577230317</v>
      </c>
      <c r="P59" s="33">
        <f t="shared" si="27"/>
        <v>1.21163716875</v>
      </c>
      <c r="Q59" s="33">
        <f t="shared" si="28"/>
        <v>69.421696070555328</v>
      </c>
      <c r="R59" s="36">
        <f t="shared" si="29"/>
        <v>0.81956726750000009</v>
      </c>
      <c r="S59" s="36">
        <f t="shared" si="30"/>
        <v>46.957745454819367</v>
      </c>
      <c r="T59" s="16"/>
      <c r="U59" s="58">
        <f t="shared" si="12"/>
        <v>35.086806512348268</v>
      </c>
      <c r="V59" s="55">
        <f t="shared" si="19"/>
        <v>210.95234265545747</v>
      </c>
      <c r="W59" s="25">
        <f t="shared" si="20"/>
        <v>102.50467632835769</v>
      </c>
      <c r="X59" s="24"/>
      <c r="Y59" s="53"/>
      <c r="Z59" s="49"/>
      <c r="AA59" s="26"/>
      <c r="AB59" s="39"/>
      <c r="AC59" s="25">
        <f t="shared" si="21"/>
        <v>-1.1835423400288247</v>
      </c>
      <c r="AD59" s="25">
        <f t="shared" si="22"/>
        <v>-5.344392449707823</v>
      </c>
      <c r="AE59" s="25">
        <f t="shared" si="23"/>
        <v>-7.1054499757207346</v>
      </c>
      <c r="AF59" s="9"/>
      <c r="AG59" s="112" t="s">
        <v>40</v>
      </c>
      <c r="AH59" s="70">
        <v>1.3232207263404501</v>
      </c>
      <c r="AI59" s="70">
        <v>5.1111609344432098</v>
      </c>
      <c r="AJ59" s="222">
        <v>1.4126469958250101</v>
      </c>
      <c r="AK59" s="71">
        <v>1.4339252048914</v>
      </c>
      <c r="AL59" s="72">
        <v>0.91149332000000005</v>
      </c>
      <c r="AM59" s="72">
        <v>0.91229539999999998</v>
      </c>
      <c r="AN59" s="70">
        <v>2.1249462048163501</v>
      </c>
      <c r="AO59" s="70">
        <v>7.76557851096746</v>
      </c>
      <c r="AP59" s="71">
        <v>1.2842181083537501</v>
      </c>
      <c r="AQ59" s="71">
        <v>1.3028979025025</v>
      </c>
      <c r="AR59" s="72">
        <v>1.0213930600000001</v>
      </c>
      <c r="AS59" s="72">
        <v>1.02583987</v>
      </c>
      <c r="AT59" s="70">
        <v>1.84540979664538</v>
      </c>
      <c r="AU59" s="70">
        <v>6.7045168462307601</v>
      </c>
      <c r="AV59" s="71">
        <v>1.1698414031939901</v>
      </c>
      <c r="AW59" s="71">
        <v>1.1928911788457399</v>
      </c>
      <c r="AX59" s="72">
        <v>0.83603541000000003</v>
      </c>
      <c r="AY59" s="72">
        <v>0.80908073000000003</v>
      </c>
      <c r="AZ59" s="70">
        <v>0.88452007928472298</v>
      </c>
      <c r="BA59" s="70">
        <v>3.42901930886508</v>
      </c>
      <c r="BB59" s="71">
        <v>1.19788964006268</v>
      </c>
      <c r="BC59" s="71">
        <v>1.24607320640657</v>
      </c>
      <c r="BD59" s="72">
        <v>0.76361621999999996</v>
      </c>
      <c r="BE59" s="72">
        <v>0.77828991000000003</v>
      </c>
      <c r="BG59" s="31">
        <v>1.31002303848163</v>
      </c>
      <c r="BH59" s="31">
        <v>5.05769730017089</v>
      </c>
      <c r="BI59" s="34">
        <v>1.3473317300000001</v>
      </c>
      <c r="BJ59" s="34">
        <v>1.3708063800000001</v>
      </c>
      <c r="BK59" s="37">
        <v>0.89670704000000001</v>
      </c>
      <c r="BL59" s="37">
        <v>0.88045468999999998</v>
      </c>
      <c r="BM59" s="31">
        <v>2.0963438413985198</v>
      </c>
      <c r="BN59" s="31">
        <v>7.6953554561285102</v>
      </c>
      <c r="BO59" s="34">
        <v>1.18365875</v>
      </c>
      <c r="BP59" s="34">
        <v>1.2091898999999999</v>
      </c>
      <c r="BQ59" s="37">
        <v>0.95890048000000006</v>
      </c>
      <c r="BR59" s="37">
        <v>0.96197648999999996</v>
      </c>
      <c r="BS59" s="31">
        <v>1.8293674494113701</v>
      </c>
      <c r="BT59" s="31">
        <v>6.6421313117748699</v>
      </c>
      <c r="BU59" s="34">
        <v>1.1099035799999999</v>
      </c>
      <c r="BV59" s="34">
        <v>1.1275208299999999</v>
      </c>
      <c r="BW59" s="37">
        <v>0.74212657999999998</v>
      </c>
      <c r="BX59" s="37">
        <v>0.74423176999999996</v>
      </c>
      <c r="BY59" s="31">
        <v>0.87077378490968205</v>
      </c>
      <c r="BZ59" s="31">
        <v>3.3412234795087801</v>
      </c>
      <c r="CA59" s="34">
        <v>1.17019702</v>
      </c>
      <c r="CB59" s="34">
        <v>1.17448916</v>
      </c>
      <c r="CC59" s="37">
        <v>0.67179345000000001</v>
      </c>
      <c r="CD59" s="95">
        <v>0.70034764000000005</v>
      </c>
      <c r="CE59" s="97" t="s">
        <v>62</v>
      </c>
    </row>
    <row r="60" spans="1:83" s="7" customFormat="1" ht="35.25" customHeight="1">
      <c r="A60" s="120"/>
      <c r="B60" s="120"/>
      <c r="C60" s="89" t="s">
        <v>71</v>
      </c>
      <c r="D60" s="85" t="s">
        <v>43</v>
      </c>
      <c r="E60" s="87" t="s">
        <v>45</v>
      </c>
      <c r="F60" s="129"/>
      <c r="G60" s="126"/>
      <c r="H60" s="126"/>
      <c r="I60" s="10" t="e">
        <f t="shared" si="16"/>
        <v>#DIV/0!</v>
      </c>
      <c r="J60" s="11" t="e">
        <f t="shared" si="17"/>
        <v>#DIV/0!</v>
      </c>
      <c r="K60" s="11" t="e">
        <f t="shared" si="24"/>
        <v>#DIV/0!</v>
      </c>
      <c r="L60" s="13" t="e">
        <f t="shared" si="18"/>
        <v>#DIV/0!</v>
      </c>
      <c r="M60" s="12" t="e">
        <f t="shared" si="25"/>
        <v>#DIV/0!</v>
      </c>
      <c r="O60" s="30" t="e">
        <f t="shared" si="26"/>
        <v>#DIV/0!</v>
      </c>
      <c r="P60" s="33" t="e">
        <f t="shared" si="27"/>
        <v>#DIV/0!</v>
      </c>
      <c r="Q60" s="33" t="e">
        <f t="shared" si="28"/>
        <v>#DIV/0!</v>
      </c>
      <c r="R60" s="36" t="e">
        <f t="shared" si="29"/>
        <v>#DIV/0!</v>
      </c>
      <c r="S60" s="36" t="e">
        <f t="shared" si="30"/>
        <v>#DIV/0!</v>
      </c>
      <c r="T60" s="16"/>
      <c r="U60" s="58" t="e">
        <f t="shared" si="12"/>
        <v>#DIV/0!</v>
      </c>
      <c r="V60" s="55" t="e">
        <f t="shared" si="19"/>
        <v>#DIV/0!</v>
      </c>
      <c r="W60" s="25" t="e">
        <f t="shared" si="20"/>
        <v>#DIV/0!</v>
      </c>
      <c r="X60" s="24"/>
      <c r="Y60" s="53" t="e">
        <f>(I60-I59)/I59*100</f>
        <v>#DIV/0!</v>
      </c>
      <c r="Z60" s="51" t="e">
        <f>(K60-K59)/K59 *100</f>
        <v>#DIV/0!</v>
      </c>
      <c r="AA60" s="27" t="e">
        <f>(M60-M59)/M59 *100</f>
        <v>#DIV/0!</v>
      </c>
      <c r="AB60" s="41"/>
      <c r="AC60" s="25" t="e">
        <f t="shared" si="21"/>
        <v>#DIV/0!</v>
      </c>
      <c r="AD60" s="25" t="e">
        <f t="shared" si="22"/>
        <v>#DIV/0!</v>
      </c>
      <c r="AE60" s="25" t="e">
        <f t="shared" si="23"/>
        <v>#DIV/0!</v>
      </c>
      <c r="AF60" s="9"/>
      <c r="AG60" s="112" t="s">
        <v>40</v>
      </c>
      <c r="AH60" s="70"/>
      <c r="AI60" s="70"/>
      <c r="AJ60" s="222"/>
      <c r="AK60" s="71"/>
      <c r="AL60" s="72"/>
      <c r="AM60" s="72"/>
      <c r="AN60" s="70"/>
      <c r="AO60" s="70"/>
      <c r="AP60" s="71"/>
      <c r="AQ60" s="71"/>
      <c r="AR60" s="72"/>
      <c r="AS60" s="72"/>
      <c r="AT60" s="70"/>
      <c r="AU60" s="70"/>
      <c r="AV60" s="71"/>
      <c r="AW60" s="71"/>
      <c r="AX60" s="72"/>
      <c r="AY60" s="72"/>
      <c r="AZ60" s="70"/>
      <c r="BA60" s="70"/>
      <c r="BB60" s="71"/>
      <c r="BC60" s="71"/>
      <c r="BD60" s="72"/>
      <c r="BE60" s="72"/>
      <c r="BG60" s="31"/>
      <c r="BH60" s="31"/>
      <c r="BI60" s="34"/>
      <c r="BJ60" s="34"/>
      <c r="BK60" s="37"/>
      <c r="BL60" s="37"/>
      <c r="BM60" s="31"/>
      <c r="BN60" s="31"/>
      <c r="BO60" s="34"/>
      <c r="BP60" s="34"/>
      <c r="BQ60" s="37"/>
      <c r="BR60" s="37"/>
      <c r="BS60" s="31"/>
      <c r="BT60" s="31"/>
      <c r="BU60" s="34"/>
      <c r="BV60" s="34"/>
      <c r="BW60" s="37"/>
      <c r="BX60" s="37"/>
      <c r="BY60" s="31"/>
      <c r="BZ60" s="31"/>
      <c r="CA60" s="34"/>
      <c r="CB60" s="34"/>
      <c r="CC60" s="37"/>
      <c r="CD60" s="95"/>
      <c r="CE60" s="97"/>
    </row>
    <row r="61" spans="1:83" s="7" customFormat="1" ht="35.25" customHeight="1">
      <c r="A61" s="120"/>
      <c r="B61" s="120"/>
      <c r="C61" s="82" t="s">
        <v>70</v>
      </c>
      <c r="D61" s="83" t="s">
        <v>38</v>
      </c>
      <c r="E61" s="87" t="s">
        <v>45</v>
      </c>
      <c r="F61" s="128" t="s">
        <v>48</v>
      </c>
      <c r="G61" s="126"/>
      <c r="H61" s="126"/>
      <c r="I61" s="10">
        <f t="shared" si="16"/>
        <v>3.774957292049824</v>
      </c>
      <c r="J61" s="11">
        <f t="shared" si="17"/>
        <v>1.4420758744766187</v>
      </c>
      <c r="K61" s="11">
        <f t="shared" si="24"/>
        <v>82.624861345147721</v>
      </c>
      <c r="L61" s="13">
        <f t="shared" si="18"/>
        <v>1.1981978100000001</v>
      </c>
      <c r="M61" s="12">
        <f t="shared" si="25"/>
        <v>68.65167753481812</v>
      </c>
      <c r="O61" s="30">
        <f t="shared" si="26"/>
        <v>3.7512742590868231</v>
      </c>
      <c r="P61" s="33">
        <f t="shared" si="27"/>
        <v>1.4213023800000002</v>
      </c>
      <c r="Q61" s="33">
        <f t="shared" si="28"/>
        <v>81.434627785899153</v>
      </c>
      <c r="R61" s="36">
        <f t="shared" si="29"/>
        <v>1.3233121862499999</v>
      </c>
      <c r="S61" s="36">
        <f t="shared" si="30"/>
        <v>75.820203250354922</v>
      </c>
      <c r="T61" s="16"/>
      <c r="U61" s="58">
        <f t="shared" si="12"/>
        <v>39.767142390124924</v>
      </c>
      <c r="V61" s="55">
        <f t="shared" si="19"/>
        <v>250.31255641656571</v>
      </c>
      <c r="W61" s="25">
        <f t="shared" si="20"/>
        <v>175.02312248733878</v>
      </c>
      <c r="X61" s="24"/>
      <c r="Y61" s="53"/>
      <c r="Z61" s="49"/>
      <c r="AA61" s="26"/>
      <c r="AB61" s="39"/>
      <c r="AC61" s="25">
        <f t="shared" si="21"/>
        <v>-0.62737220929301873</v>
      </c>
      <c r="AD61" s="25">
        <f t="shared" si="22"/>
        <v>-1.4405271486951388</v>
      </c>
      <c r="AE61" s="25">
        <f t="shared" si="23"/>
        <v>10.441879897109777</v>
      </c>
      <c r="AF61" s="9"/>
      <c r="AG61" s="112" t="s">
        <v>40</v>
      </c>
      <c r="AH61" s="70">
        <v>1.35933833995262</v>
      </c>
      <c r="AI61" s="70">
        <v>5.2544064164071997</v>
      </c>
      <c r="AJ61" s="222">
        <v>1.54449588506159</v>
      </c>
      <c r="AK61" s="71">
        <v>1.5789524196810001</v>
      </c>
      <c r="AL61" s="72">
        <v>1.29008682</v>
      </c>
      <c r="AM61" s="72">
        <v>1.30966954</v>
      </c>
      <c r="AN61" s="70">
        <v>2.1848719144950399</v>
      </c>
      <c r="AO61" s="70">
        <v>8.0613636182867694</v>
      </c>
      <c r="AP61" s="71">
        <v>1.4450803631932601</v>
      </c>
      <c r="AQ61" s="71">
        <v>1.48973642701308</v>
      </c>
      <c r="AR61" s="72">
        <v>1.3350603000000001</v>
      </c>
      <c r="AS61" s="72">
        <v>1.3560708299999999</v>
      </c>
      <c r="AT61" s="70">
        <v>1.9118051206336699</v>
      </c>
      <c r="AU61" s="70">
        <v>6.9911991536339801</v>
      </c>
      <c r="AV61" s="71">
        <v>1.3721256631097101</v>
      </c>
      <c r="AW61" s="71">
        <v>1.4090257807219799</v>
      </c>
      <c r="AX61" s="72">
        <v>1.02068461</v>
      </c>
      <c r="AY61" s="72">
        <v>1.04791067</v>
      </c>
      <c r="AZ61" s="70">
        <v>0.908279682183045</v>
      </c>
      <c r="BA61" s="70">
        <v>3.5283940908062701</v>
      </c>
      <c r="BB61" s="71">
        <v>1.32046211359202</v>
      </c>
      <c r="BC61" s="71">
        <v>1.3767283434403099</v>
      </c>
      <c r="BD61" s="72">
        <v>1.04234033</v>
      </c>
      <c r="BE61" s="72">
        <v>1.1837593799999999</v>
      </c>
      <c r="BG61" s="31">
        <v>1.3447322471138601</v>
      </c>
      <c r="BH61" s="31">
        <v>5.1849911020158004</v>
      </c>
      <c r="BI61" s="34">
        <v>1.5018962499999999</v>
      </c>
      <c r="BJ61" s="34">
        <v>1.51569537</v>
      </c>
      <c r="BK61" s="37">
        <v>1.4345938600000001</v>
      </c>
      <c r="BL61" s="37">
        <v>1.4402207</v>
      </c>
      <c r="BM61" s="31">
        <v>2.1564238688175901</v>
      </c>
      <c r="BN61" s="31">
        <v>7.9710527154474597</v>
      </c>
      <c r="BO61" s="34">
        <v>1.33875206</v>
      </c>
      <c r="BP61" s="34">
        <v>1.4060025300000001</v>
      </c>
      <c r="BQ61" s="37">
        <v>1.2495962700000001</v>
      </c>
      <c r="BR61" s="37">
        <v>1.3268034200000001</v>
      </c>
      <c r="BS61" s="31">
        <v>1.90014096729778</v>
      </c>
      <c r="BT61" s="31">
        <v>6.9319218323567497</v>
      </c>
      <c r="BU61" s="34">
        <v>1.34023297</v>
      </c>
      <c r="BV61" s="34">
        <v>1.3661307300000001</v>
      </c>
      <c r="BW61" s="37">
        <v>1.16255609</v>
      </c>
      <c r="BX61" s="37">
        <v>1.1630632999999999</v>
      </c>
      <c r="BY61" s="31">
        <v>0.92265638624801505</v>
      </c>
      <c r="BZ61" s="31">
        <v>3.5982749533973299</v>
      </c>
      <c r="CA61" s="34">
        <v>1.42386144</v>
      </c>
      <c r="CB61" s="34">
        <v>1.4778476899999999</v>
      </c>
      <c r="CC61" s="37">
        <v>1.369016</v>
      </c>
      <c r="CD61" s="95">
        <v>1.44064785</v>
      </c>
      <c r="CE61" s="97" t="s">
        <v>62</v>
      </c>
    </row>
    <row r="62" spans="1:83" s="7" customFormat="1" ht="35.25" customHeight="1">
      <c r="A62" s="121"/>
      <c r="B62" s="121"/>
      <c r="C62" s="89" t="s">
        <v>71</v>
      </c>
      <c r="D62" s="85" t="s">
        <v>43</v>
      </c>
      <c r="E62" s="87" t="s">
        <v>45</v>
      </c>
      <c r="F62" s="129"/>
      <c r="G62" s="127"/>
      <c r="H62" s="127"/>
      <c r="I62" s="10" t="e">
        <f t="shared" si="16"/>
        <v>#DIV/0!</v>
      </c>
      <c r="J62" s="11" t="e">
        <f t="shared" si="17"/>
        <v>#DIV/0!</v>
      </c>
      <c r="K62" s="11" t="e">
        <f t="shared" si="24"/>
        <v>#DIV/0!</v>
      </c>
      <c r="L62" s="13" t="e">
        <f t="shared" si="18"/>
        <v>#DIV/0!</v>
      </c>
      <c r="M62" s="12" t="e">
        <f t="shared" si="25"/>
        <v>#DIV/0!</v>
      </c>
      <c r="O62" s="30" t="e">
        <f t="shared" si="26"/>
        <v>#DIV/0!</v>
      </c>
      <c r="P62" s="33" t="e">
        <f t="shared" si="27"/>
        <v>#DIV/0!</v>
      </c>
      <c r="Q62" s="33" t="e">
        <f t="shared" si="28"/>
        <v>#DIV/0!</v>
      </c>
      <c r="R62" s="36" t="e">
        <f t="shared" si="29"/>
        <v>#DIV/0!</v>
      </c>
      <c r="S62" s="36" t="e">
        <f t="shared" si="30"/>
        <v>#DIV/0!</v>
      </c>
      <c r="T62" s="16"/>
      <c r="U62" s="58" t="e">
        <f t="shared" si="12"/>
        <v>#DIV/0!</v>
      </c>
      <c r="V62" s="55" t="e">
        <f t="shared" si="19"/>
        <v>#DIV/0!</v>
      </c>
      <c r="W62" s="25" t="e">
        <f t="shared" si="20"/>
        <v>#DIV/0!</v>
      </c>
      <c r="X62" s="24"/>
      <c r="Y62" s="53" t="e">
        <f>(I62-I61)/I61*100</f>
        <v>#DIV/0!</v>
      </c>
      <c r="Z62" s="66" t="e">
        <f>(K62-K61)/K61 *100</f>
        <v>#DIV/0!</v>
      </c>
      <c r="AA62" s="67" t="e">
        <f>(M62-M61)/M61 *100</f>
        <v>#DIV/0!</v>
      </c>
      <c r="AB62" s="41"/>
      <c r="AC62" s="25" t="e">
        <f t="shared" si="21"/>
        <v>#DIV/0!</v>
      </c>
      <c r="AD62" s="25" t="e">
        <f t="shared" si="22"/>
        <v>#DIV/0!</v>
      </c>
      <c r="AE62" s="25" t="e">
        <f t="shared" si="23"/>
        <v>#DIV/0!</v>
      </c>
      <c r="AF62" s="9"/>
      <c r="AG62" s="112" t="s">
        <v>40</v>
      </c>
      <c r="AH62" s="70"/>
      <c r="AI62" s="70"/>
      <c r="AJ62" s="222"/>
      <c r="AK62" s="71"/>
      <c r="AL62" s="72"/>
      <c r="AM62" s="72"/>
      <c r="AN62" s="70"/>
      <c r="AO62" s="70"/>
      <c r="AP62" s="71"/>
      <c r="AQ62" s="71"/>
      <c r="AR62" s="72"/>
      <c r="AS62" s="72"/>
      <c r="AT62" s="70"/>
      <c r="AU62" s="70"/>
      <c r="AV62" s="71"/>
      <c r="AW62" s="71"/>
      <c r="AX62" s="72"/>
      <c r="AY62" s="72"/>
      <c r="AZ62" s="70"/>
      <c r="BA62" s="70"/>
      <c r="BB62" s="71"/>
      <c r="BC62" s="71"/>
      <c r="BD62" s="72"/>
      <c r="BE62" s="72"/>
      <c r="BG62" s="31"/>
      <c r="BH62" s="31"/>
      <c r="BI62" s="34"/>
      <c r="BJ62" s="34"/>
      <c r="BK62" s="37"/>
      <c r="BL62" s="37"/>
      <c r="BM62" s="31"/>
      <c r="BN62" s="31"/>
      <c r="BO62" s="34"/>
      <c r="BP62" s="34"/>
      <c r="BQ62" s="37"/>
      <c r="BR62" s="37"/>
      <c r="BS62" s="31"/>
      <c r="BT62" s="31"/>
      <c r="BU62" s="34"/>
      <c r="BV62" s="34"/>
      <c r="BW62" s="37"/>
      <c r="BX62" s="37"/>
      <c r="BY62" s="31"/>
      <c r="BZ62" s="31"/>
      <c r="CA62" s="34"/>
      <c r="CB62" s="34"/>
      <c r="CC62" s="37"/>
      <c r="CD62" s="95"/>
      <c r="CE62" s="97"/>
    </row>
    <row r="63" spans="1:83" s="7" customFormat="1" ht="35.25" customHeight="1">
      <c r="A63" s="122" t="s">
        <v>72</v>
      </c>
      <c r="B63" s="122" t="s">
        <v>36</v>
      </c>
      <c r="C63" s="81" t="s">
        <v>73</v>
      </c>
      <c r="D63" s="83" t="s">
        <v>38</v>
      </c>
      <c r="E63" s="86" t="s">
        <v>38</v>
      </c>
      <c r="F63" s="123" t="s">
        <v>39</v>
      </c>
      <c r="G63" s="125">
        <v>4</v>
      </c>
      <c r="H63" s="125">
        <v>6</v>
      </c>
      <c r="I63" s="10">
        <f t="shared" si="16"/>
        <v>3.721389698960035</v>
      </c>
      <c r="J63" s="11">
        <f t="shared" si="17"/>
        <v>1.31848536957369</v>
      </c>
      <c r="K63" s="11">
        <f t="shared" si="24"/>
        <v>75.543647026319007</v>
      </c>
      <c r="L63" s="13">
        <f t="shared" si="18"/>
        <v>1.1997697375</v>
      </c>
      <c r="M63" s="12">
        <f t="shared" si="25"/>
        <v>68.741742346268666</v>
      </c>
      <c r="O63" s="30">
        <f t="shared" si="26"/>
        <v>3.702185829728327</v>
      </c>
      <c r="P63" s="33">
        <f t="shared" si="27"/>
        <v>1.3079819637500001</v>
      </c>
      <c r="Q63" s="33">
        <f t="shared" si="28"/>
        <v>74.941846202108437</v>
      </c>
      <c r="R63" s="36">
        <f t="shared" si="29"/>
        <v>1.0898646150000002</v>
      </c>
      <c r="S63" s="36">
        <f t="shared" si="30"/>
        <v>62.444642680150366</v>
      </c>
      <c r="T63" s="16"/>
      <c r="U63" s="58">
        <f t="shared" si="12"/>
        <v>37.783811498767655</v>
      </c>
      <c r="V63" s="55">
        <f t="shared" si="19"/>
        <v>220.28965229089169</v>
      </c>
      <c r="W63" s="25">
        <f t="shared" si="20"/>
        <v>175.38392802859886</v>
      </c>
      <c r="X63" s="24"/>
      <c r="Y63" s="53"/>
      <c r="Z63" s="49"/>
      <c r="AA63" s="26"/>
      <c r="AB63" s="39"/>
      <c r="AC63" s="25">
        <f t="shared" si="21"/>
        <v>-0.51604026412699167</v>
      </c>
      <c r="AD63" s="25">
        <f t="shared" si="22"/>
        <v>-0.79662664949298323</v>
      </c>
      <c r="AE63" s="25">
        <f t="shared" si="23"/>
        <v>-9.160517978142444</v>
      </c>
      <c r="AF63" s="9"/>
      <c r="AG63" s="112" t="s">
        <v>40</v>
      </c>
      <c r="AH63" s="70">
        <v>1.3473245267785801</v>
      </c>
      <c r="AI63" s="70">
        <v>5.2113013100425096</v>
      </c>
      <c r="AJ63" s="222">
        <v>1.3466077723422301</v>
      </c>
      <c r="AK63" s="71">
        <v>1.36955378878111</v>
      </c>
      <c r="AL63" s="72">
        <v>1.22128668</v>
      </c>
      <c r="AM63" s="72">
        <v>1.2059492999999999</v>
      </c>
      <c r="AN63" s="70">
        <v>2.1699946413813298</v>
      </c>
      <c r="AO63" s="70">
        <v>7.9709632814619198</v>
      </c>
      <c r="AP63" s="71">
        <v>1.42737981362333</v>
      </c>
      <c r="AQ63" s="71">
        <v>1.4469756934356</v>
      </c>
      <c r="AR63" s="72">
        <v>1.4496994999999999</v>
      </c>
      <c r="AS63" s="72">
        <v>1.43960468</v>
      </c>
      <c r="AT63" s="70">
        <v>1.91596435634858</v>
      </c>
      <c r="AU63" s="70">
        <v>6.9982493142633997</v>
      </c>
      <c r="AV63" s="71">
        <v>1.31032271765819</v>
      </c>
      <c r="AW63" s="71">
        <v>1.31527279638128</v>
      </c>
      <c r="AX63" s="72">
        <v>1.31054669</v>
      </c>
      <c r="AY63" s="72">
        <v>1.2944831999999999</v>
      </c>
      <c r="AZ63" s="70">
        <v>0.85033841305079005</v>
      </c>
      <c r="BA63" s="70">
        <v>3.30698174835317</v>
      </c>
      <c r="BB63" s="71">
        <v>1.1599019999450899</v>
      </c>
      <c r="BC63" s="71">
        <v>1.1718683744226901</v>
      </c>
      <c r="BD63" s="72">
        <v>0.82278163999999998</v>
      </c>
      <c r="BE63" s="72">
        <v>0.85380621000000001</v>
      </c>
      <c r="BG63" s="31">
        <v>1.3392141822072601</v>
      </c>
      <c r="BH63" s="31">
        <v>5.1716264318164402</v>
      </c>
      <c r="BI63" s="34">
        <v>1.32571536</v>
      </c>
      <c r="BJ63" s="34">
        <v>1.3462164700000001</v>
      </c>
      <c r="BK63" s="37">
        <v>1.14700136</v>
      </c>
      <c r="BL63" s="37">
        <v>1.09284508</v>
      </c>
      <c r="BM63" s="31">
        <v>2.1659774509901299</v>
      </c>
      <c r="BN63" s="31">
        <v>7.9654725866498097</v>
      </c>
      <c r="BO63" s="34">
        <v>1.42199236</v>
      </c>
      <c r="BP63" s="34">
        <v>1.4446953</v>
      </c>
      <c r="BQ63" s="37">
        <v>1.40781577</v>
      </c>
      <c r="BR63" s="37">
        <v>1.39636015</v>
      </c>
      <c r="BS63" s="31">
        <v>1.91165288456868</v>
      </c>
      <c r="BT63" s="31">
        <v>6.9798127487342096</v>
      </c>
      <c r="BU63" s="34">
        <v>1.3094120199999999</v>
      </c>
      <c r="BV63" s="34">
        <v>1.31638477</v>
      </c>
      <c r="BW63" s="37">
        <v>1.26725723</v>
      </c>
      <c r="BX63" s="37">
        <v>1.2373139900000001</v>
      </c>
      <c r="BY63" s="31">
        <v>0.83612219413032596</v>
      </c>
      <c r="BZ63" s="31">
        <v>3.2476081587297601</v>
      </c>
      <c r="CA63" s="34">
        <v>1.1420794299999999</v>
      </c>
      <c r="CB63" s="34">
        <v>1.1573599999999999</v>
      </c>
      <c r="CC63" s="37">
        <v>0.58533877999999995</v>
      </c>
      <c r="CD63" s="95">
        <v>0.58498455999999999</v>
      </c>
      <c r="CE63" s="97" t="s">
        <v>51</v>
      </c>
    </row>
    <row r="64" spans="1:83" s="7" customFormat="1" ht="35.25" customHeight="1">
      <c r="A64" s="120"/>
      <c r="B64" s="120"/>
      <c r="C64" s="81" t="s">
        <v>74</v>
      </c>
      <c r="D64" s="85" t="s">
        <v>43</v>
      </c>
      <c r="E64" s="86" t="s">
        <v>38</v>
      </c>
      <c r="F64" s="124"/>
      <c r="G64" s="126"/>
      <c r="H64" s="126"/>
      <c r="I64" s="10">
        <f t="shared" si="16"/>
        <v>3.2998136302721019</v>
      </c>
      <c r="J64" s="11">
        <f t="shared" si="17"/>
        <v>0.8420875380229832</v>
      </c>
      <c r="K64" s="11">
        <f t="shared" si="24"/>
        <v>48.248061909279173</v>
      </c>
      <c r="L64" s="13">
        <f t="shared" si="18"/>
        <v>0.80704319874999997</v>
      </c>
      <c r="M64" s="12">
        <f t="shared" si="25"/>
        <v>46.240169173112676</v>
      </c>
      <c r="O64" s="30" t="e">
        <f t="shared" si="26"/>
        <v>#DIV/0!</v>
      </c>
      <c r="P64" s="33" t="e">
        <f t="shared" si="27"/>
        <v>#DIV/0!</v>
      </c>
      <c r="Q64" s="33" t="e">
        <f t="shared" si="28"/>
        <v>#DIV/0!</v>
      </c>
      <c r="R64" s="36" t="e">
        <f t="shared" si="29"/>
        <v>#DIV/0!</v>
      </c>
      <c r="S64" s="36" t="e">
        <f t="shared" si="30"/>
        <v>#DIV/0!</v>
      </c>
      <c r="T64" s="16"/>
      <c r="U64" s="58">
        <f t="shared" si="12"/>
        <v>22.175030296217898</v>
      </c>
      <c r="V64" s="55">
        <f t="shared" si="19"/>
        <v>104.56193976508146</v>
      </c>
      <c r="W64" s="25">
        <f t="shared" si="20"/>
        <v>85.241150209075158</v>
      </c>
      <c r="X64" s="24"/>
      <c r="Y64" s="53">
        <f>(I64-I63)/I63*100</f>
        <v>-11.328457989920944</v>
      </c>
      <c r="Z64" s="51">
        <f>(K64-K63)/K63 *100</f>
        <v>-36.132204614810561</v>
      </c>
      <c r="AA64" s="27">
        <f>(M64-M63)/M63 *100</f>
        <v>-32.733492642374642</v>
      </c>
      <c r="AB64" s="41"/>
      <c r="AC64" s="25" t="e">
        <f t="shared" si="21"/>
        <v>#DIV/0!</v>
      </c>
      <c r="AD64" s="25" t="e">
        <f t="shared" si="22"/>
        <v>#DIV/0!</v>
      </c>
      <c r="AE64" s="25" t="e">
        <f t="shared" si="23"/>
        <v>#DIV/0!</v>
      </c>
      <c r="AF64" s="9"/>
      <c r="AG64" s="112" t="s">
        <v>40</v>
      </c>
      <c r="AH64" s="70">
        <v>1.16628489563729</v>
      </c>
      <c r="AI64" s="70">
        <v>4.4558470883840702</v>
      </c>
      <c r="AJ64" s="222">
        <v>0.79609158019722204</v>
      </c>
      <c r="AK64" s="71">
        <v>0.79718640889685399</v>
      </c>
      <c r="AL64" s="72">
        <v>0.76603016999999995</v>
      </c>
      <c r="AM64" s="72">
        <v>0.75299872999999995</v>
      </c>
      <c r="AN64" s="70">
        <v>2.0291072976171498</v>
      </c>
      <c r="AO64" s="70">
        <v>7.3981924519646798</v>
      </c>
      <c r="AP64" s="71">
        <v>0.95643746144987296</v>
      </c>
      <c r="AQ64" s="71">
        <v>0.96075974618468696</v>
      </c>
      <c r="AR64" s="72">
        <v>0.91241154999999996</v>
      </c>
      <c r="AS64" s="72">
        <v>0.89104156000000001</v>
      </c>
      <c r="AT64" s="70">
        <v>1.7698930745553001</v>
      </c>
      <c r="AU64" s="70">
        <v>6.3885158840288803</v>
      </c>
      <c r="AV64" s="71">
        <v>0.92601558230429204</v>
      </c>
      <c r="AW64" s="71">
        <v>0.91985789223891501</v>
      </c>
      <c r="AX64" s="72">
        <v>0.80540902000000003</v>
      </c>
      <c r="AY64" s="72">
        <v>0.75805281999999996</v>
      </c>
      <c r="AZ64" s="70">
        <v>0.67233020699664903</v>
      </c>
      <c r="BA64" s="70">
        <v>2.5183381429927998</v>
      </c>
      <c r="BB64" s="71">
        <v>0.70154325241860205</v>
      </c>
      <c r="BC64" s="71">
        <v>0.67880838049342096</v>
      </c>
      <c r="BD64" s="72">
        <v>0.79288338999999997</v>
      </c>
      <c r="BE64" s="72">
        <v>0.77751835000000002</v>
      </c>
      <c r="BG64" s="31"/>
      <c r="BH64" s="31"/>
      <c r="BI64" s="34"/>
      <c r="BJ64" s="34"/>
      <c r="BK64" s="37"/>
      <c r="BL64" s="37"/>
      <c r="BM64" s="31"/>
      <c r="BN64" s="31"/>
      <c r="BO64" s="34"/>
      <c r="BP64" s="34"/>
      <c r="BQ64" s="37"/>
      <c r="BR64" s="37"/>
      <c r="BS64" s="31"/>
      <c r="BT64" s="31"/>
      <c r="BU64" s="34"/>
      <c r="BV64" s="34"/>
      <c r="BW64" s="37"/>
      <c r="BX64" s="37"/>
      <c r="BY64" s="31"/>
      <c r="BZ64" s="31"/>
      <c r="CA64" s="34"/>
      <c r="CB64" s="34"/>
      <c r="CC64" s="37"/>
      <c r="CD64" s="95"/>
      <c r="CE64" s="97"/>
    </row>
    <row r="65" spans="1:83" s="7" customFormat="1" ht="35.25" customHeight="1">
      <c r="A65" s="120"/>
      <c r="B65" s="120"/>
      <c r="C65" s="82" t="s">
        <v>73</v>
      </c>
      <c r="D65" s="83" t="s">
        <v>38</v>
      </c>
      <c r="E65" s="87" t="s">
        <v>45</v>
      </c>
      <c r="F65" s="128" t="s">
        <v>36</v>
      </c>
      <c r="G65" s="126"/>
      <c r="H65" s="126"/>
      <c r="I65" s="10">
        <f t="shared" si="16"/>
        <v>3.6982989003653177</v>
      </c>
      <c r="J65" s="11">
        <f t="shared" si="17"/>
        <v>1.2982928108824838</v>
      </c>
      <c r="K65" s="11">
        <f t="shared" si="24"/>
        <v>74.386698635742675</v>
      </c>
      <c r="L65" s="13">
        <f t="shared" si="18"/>
        <v>1.08203473625</v>
      </c>
      <c r="M65" s="12">
        <f t="shared" si="25"/>
        <v>61.996023673676184</v>
      </c>
      <c r="O65" s="30">
        <f t="shared" si="26"/>
        <v>3.6833467137646378</v>
      </c>
      <c r="P65" s="33">
        <f t="shared" si="27"/>
        <v>1.2953163437500002</v>
      </c>
      <c r="Q65" s="33">
        <f t="shared" si="28"/>
        <v>74.216159631191957</v>
      </c>
      <c r="R65" s="36">
        <f t="shared" si="29"/>
        <v>1.0465084924999999</v>
      </c>
      <c r="S65" s="36">
        <f t="shared" si="30"/>
        <v>59.960519844848157</v>
      </c>
      <c r="T65" s="16"/>
      <c r="U65" s="58">
        <f t="shared" si="12"/>
        <v>36.928878664987941</v>
      </c>
      <c r="V65" s="55">
        <f t="shared" si="19"/>
        <v>215.38442713533232</v>
      </c>
      <c r="W65" s="25">
        <f t="shared" si="20"/>
        <v>148.36013663156251</v>
      </c>
      <c r="X65" s="24"/>
      <c r="Y65" s="53"/>
      <c r="Z65" s="49"/>
      <c r="AA65" s="26"/>
      <c r="AB65" s="39"/>
      <c r="AC65" s="25">
        <f t="shared" si="21"/>
        <v>-0.40429903054084942</v>
      </c>
      <c r="AD65" s="25">
        <f t="shared" si="22"/>
        <v>-0.22926007966264952</v>
      </c>
      <c r="AE65" s="25">
        <f t="shared" si="23"/>
        <v>-3.2832812625889614</v>
      </c>
      <c r="AF65" s="9"/>
      <c r="AG65" s="112" t="s">
        <v>40</v>
      </c>
      <c r="AH65" s="70">
        <v>1.34629428187064</v>
      </c>
      <c r="AI65" s="70">
        <v>5.2080766944796899</v>
      </c>
      <c r="AJ65" s="222">
        <v>1.3460523307197401</v>
      </c>
      <c r="AK65" s="71">
        <v>1.3629693510298899</v>
      </c>
      <c r="AL65" s="72">
        <v>1.23506212</v>
      </c>
      <c r="AM65" s="72">
        <v>1.2199262099999999</v>
      </c>
      <c r="AN65" s="70">
        <v>2.1691074733350701</v>
      </c>
      <c r="AO65" s="70">
        <v>7.98101966690799</v>
      </c>
      <c r="AP65" s="71">
        <v>1.42926736396472</v>
      </c>
      <c r="AQ65" s="71">
        <v>1.4388514869442199</v>
      </c>
      <c r="AR65" s="72">
        <v>1.3777192899999999</v>
      </c>
      <c r="AS65" s="72">
        <v>1.3702718899999999</v>
      </c>
      <c r="AT65" s="70">
        <v>1.9089919431231199</v>
      </c>
      <c r="AU65" s="70">
        <v>6.9762052618179702</v>
      </c>
      <c r="AV65" s="71">
        <v>1.2813826432517801</v>
      </c>
      <c r="AW65" s="71">
        <v>1.2889770633051501</v>
      </c>
      <c r="AX65" s="72">
        <v>1.29546706</v>
      </c>
      <c r="AY65" s="72">
        <v>1.2849345700000001</v>
      </c>
      <c r="AZ65" s="70">
        <v>0.81307808908666901</v>
      </c>
      <c r="BA65" s="70">
        <v>3.1836177923013902</v>
      </c>
      <c r="BB65" s="71">
        <v>1.10997045024591</v>
      </c>
      <c r="BC65" s="71">
        <v>1.1288717975984599</v>
      </c>
      <c r="BD65" s="72">
        <v>0.44567514000000003</v>
      </c>
      <c r="BE65" s="72">
        <v>0.42722160999999997</v>
      </c>
      <c r="BG65" s="31">
        <v>1.33938741677359</v>
      </c>
      <c r="BH65" s="31">
        <v>5.1766197723930603</v>
      </c>
      <c r="BI65" s="34">
        <v>1.3321388199999999</v>
      </c>
      <c r="BJ65" s="34">
        <v>1.34930007</v>
      </c>
      <c r="BK65" s="37">
        <v>1.1677035499999999</v>
      </c>
      <c r="BL65" s="37">
        <v>1.1358602799999999</v>
      </c>
      <c r="BM65" s="31">
        <v>2.1653550383367501</v>
      </c>
      <c r="BN65" s="31">
        <v>7.9631582694985603</v>
      </c>
      <c r="BO65" s="34">
        <v>1.4265453699999999</v>
      </c>
      <c r="BP65" s="34">
        <v>1.44029848</v>
      </c>
      <c r="BQ65" s="37">
        <v>1.3364614500000001</v>
      </c>
      <c r="BR65" s="37">
        <v>1.3370594499999999</v>
      </c>
      <c r="BS65" s="31">
        <v>1.9057943286960499</v>
      </c>
      <c r="BT65" s="31">
        <v>6.9580833357314003</v>
      </c>
      <c r="BU65" s="34">
        <v>1.2817436</v>
      </c>
      <c r="BV65" s="34">
        <v>1.28875769</v>
      </c>
      <c r="BW65" s="37">
        <v>1.2645179200000001</v>
      </c>
      <c r="BX65" s="37">
        <v>1.2434286699999999</v>
      </c>
      <c r="BY65" s="31">
        <v>0.80918721367992896</v>
      </c>
      <c r="BZ65" s="31">
        <v>3.1491883350077599</v>
      </c>
      <c r="CA65" s="34">
        <v>1.11736518</v>
      </c>
      <c r="CB65" s="34">
        <v>1.1263815399999999</v>
      </c>
      <c r="CC65" s="37">
        <v>0.43792239999999999</v>
      </c>
      <c r="CD65" s="95">
        <v>0.44911422000000001</v>
      </c>
      <c r="CE65" s="97" t="s">
        <v>51</v>
      </c>
    </row>
    <row r="66" spans="1:83" s="7" customFormat="1" ht="35.25" customHeight="1">
      <c r="A66" s="120"/>
      <c r="B66" s="120"/>
      <c r="C66" s="82" t="s">
        <v>74</v>
      </c>
      <c r="D66" s="85" t="s">
        <v>43</v>
      </c>
      <c r="E66" s="87" t="s">
        <v>45</v>
      </c>
      <c r="F66" s="129"/>
      <c r="G66" s="126"/>
      <c r="H66" s="126"/>
      <c r="I66" s="10" t="e">
        <f t="shared" si="16"/>
        <v>#DIV/0!</v>
      </c>
      <c r="J66" s="11" t="e">
        <f t="shared" si="17"/>
        <v>#DIV/0!</v>
      </c>
      <c r="K66" s="11" t="e">
        <f t="shared" si="24"/>
        <v>#DIV/0!</v>
      </c>
      <c r="L66" s="13" t="e">
        <f t="shared" si="18"/>
        <v>#DIV/0!</v>
      </c>
      <c r="M66" s="12" t="e">
        <f t="shared" si="25"/>
        <v>#DIV/0!</v>
      </c>
      <c r="O66" s="30" t="e">
        <f t="shared" si="26"/>
        <v>#DIV/0!</v>
      </c>
      <c r="P66" s="33" t="e">
        <f t="shared" si="27"/>
        <v>#DIV/0!</v>
      </c>
      <c r="Q66" s="33" t="e">
        <f t="shared" si="28"/>
        <v>#DIV/0!</v>
      </c>
      <c r="R66" s="36" t="e">
        <f t="shared" si="29"/>
        <v>#DIV/0!</v>
      </c>
      <c r="S66" s="36" t="e">
        <f t="shared" si="30"/>
        <v>#DIV/0!</v>
      </c>
      <c r="T66" s="16"/>
      <c r="U66" s="58" t="e">
        <f t="shared" si="12"/>
        <v>#DIV/0!</v>
      </c>
      <c r="V66" s="55" t="e">
        <f t="shared" si="19"/>
        <v>#DIV/0!</v>
      </c>
      <c r="W66" s="25" t="e">
        <f t="shared" si="20"/>
        <v>#DIV/0!</v>
      </c>
      <c r="X66" s="24"/>
      <c r="Y66" s="53" t="e">
        <f>(I66-I65)/I65*100</f>
        <v>#DIV/0!</v>
      </c>
      <c r="Z66" s="51" t="e">
        <f>(K66-K65)/K65 *100</f>
        <v>#DIV/0!</v>
      </c>
      <c r="AA66" s="27" t="e">
        <f>(M66-M65)/M65 *100</f>
        <v>#DIV/0!</v>
      </c>
      <c r="AB66" s="41"/>
      <c r="AC66" s="25" t="e">
        <f t="shared" si="21"/>
        <v>#DIV/0!</v>
      </c>
      <c r="AD66" s="25" t="e">
        <f t="shared" si="22"/>
        <v>#DIV/0!</v>
      </c>
      <c r="AE66" s="25" t="e">
        <f t="shared" si="23"/>
        <v>#DIV/0!</v>
      </c>
      <c r="AF66" s="9"/>
      <c r="AG66" s="112" t="s">
        <v>40</v>
      </c>
      <c r="AH66" s="70"/>
      <c r="AI66" s="70"/>
      <c r="AJ66" s="222"/>
      <c r="AK66" s="71"/>
      <c r="AL66" s="72"/>
      <c r="AM66" s="72"/>
      <c r="AN66" s="70"/>
      <c r="AO66" s="70"/>
      <c r="AP66" s="71"/>
      <c r="AQ66" s="71"/>
      <c r="AR66" s="72"/>
      <c r="AS66" s="72"/>
      <c r="AT66" s="70"/>
      <c r="AU66" s="70"/>
      <c r="AV66" s="71"/>
      <c r="AW66" s="71"/>
      <c r="AX66" s="72"/>
      <c r="AY66" s="72"/>
      <c r="AZ66" s="70"/>
      <c r="BA66" s="70"/>
      <c r="BB66" s="71"/>
      <c r="BC66" s="71"/>
      <c r="BD66" s="72"/>
      <c r="BE66" s="72"/>
      <c r="BG66" s="31"/>
      <c r="BH66" s="31"/>
      <c r="BI66" s="34"/>
      <c r="BJ66" s="34"/>
      <c r="BK66" s="37"/>
      <c r="BL66" s="37"/>
      <c r="BM66" s="31"/>
      <c r="BN66" s="31"/>
      <c r="BO66" s="34"/>
      <c r="BP66" s="34"/>
      <c r="BQ66" s="37"/>
      <c r="BR66" s="37"/>
      <c r="BS66" s="31"/>
      <c r="BT66" s="31"/>
      <c r="BU66" s="34"/>
      <c r="BV66" s="34"/>
      <c r="BW66" s="37"/>
      <c r="BX66" s="37"/>
      <c r="BY66" s="31"/>
      <c r="BZ66" s="31"/>
      <c r="CA66" s="34"/>
      <c r="CB66" s="34"/>
      <c r="CC66" s="37"/>
      <c r="CD66" s="95"/>
      <c r="CE66" s="97"/>
    </row>
    <row r="67" spans="1:83" s="7" customFormat="1" ht="35.25" customHeight="1">
      <c r="A67" s="120"/>
      <c r="B67" s="120"/>
      <c r="C67" s="82" t="s">
        <v>73</v>
      </c>
      <c r="D67" s="83" t="s">
        <v>38</v>
      </c>
      <c r="E67" s="87" t="s">
        <v>45</v>
      </c>
      <c r="F67" s="128" t="s">
        <v>47</v>
      </c>
      <c r="G67" s="126"/>
      <c r="H67" s="126"/>
      <c r="I67" s="10">
        <f t="shared" si="16"/>
        <v>3.7661000075952908</v>
      </c>
      <c r="J67" s="11">
        <f t="shared" si="17"/>
        <v>1.376026999689185</v>
      </c>
      <c r="K67" s="11">
        <f t="shared" si="24"/>
        <v>78.840539578239742</v>
      </c>
      <c r="L67" s="13">
        <f t="shared" si="18"/>
        <v>1.2010252800000001</v>
      </c>
      <c r="M67" s="12">
        <f t="shared" si="25"/>
        <v>68.81367963251796</v>
      </c>
      <c r="O67" s="30">
        <f t="shared" si="26"/>
        <v>3.7663501107692801</v>
      </c>
      <c r="P67" s="33">
        <f t="shared" si="27"/>
        <v>1.3953181412500002</v>
      </c>
      <c r="Q67" s="33">
        <f t="shared" si="28"/>
        <v>79.945840571663865</v>
      </c>
      <c r="R67" s="36">
        <f t="shared" si="29"/>
        <v>1.2051255175</v>
      </c>
      <c r="S67" s="36">
        <f t="shared" si="30"/>
        <v>69.048605936269226</v>
      </c>
      <c r="T67" s="16"/>
      <c r="U67" s="58">
        <f t="shared" si="12"/>
        <v>39.439202961471324</v>
      </c>
      <c r="V67" s="55">
        <f t="shared" si="19"/>
        <v>234.2678041363703</v>
      </c>
      <c r="W67" s="25">
        <f t="shared" si="20"/>
        <v>175.67211351507166</v>
      </c>
      <c r="X67" s="24"/>
      <c r="Y67" s="53"/>
      <c r="Z67" s="49"/>
      <c r="AA67" s="26"/>
      <c r="AB67" s="39"/>
      <c r="AC67" s="25">
        <f t="shared" si="21"/>
        <v>6.6409063350632569E-3</v>
      </c>
      <c r="AD67" s="25">
        <f t="shared" si="22"/>
        <v>1.4019449883739634</v>
      </c>
      <c r="AE67" s="25">
        <f t="shared" si="23"/>
        <v>0.34139477064128837</v>
      </c>
      <c r="AF67" s="9"/>
      <c r="AG67" s="112" t="s">
        <v>40</v>
      </c>
      <c r="AH67" s="70">
        <v>1.36832502674144</v>
      </c>
      <c r="AI67" s="70">
        <v>5.30201951979807</v>
      </c>
      <c r="AJ67" s="222">
        <v>1.42870190492558</v>
      </c>
      <c r="AK67" s="71">
        <v>1.4459253917580199</v>
      </c>
      <c r="AL67" s="72">
        <v>1.5184109400000001</v>
      </c>
      <c r="AM67" s="72">
        <v>1.5163255899999999</v>
      </c>
      <c r="AN67" s="70">
        <v>2.1816661293085202</v>
      </c>
      <c r="AO67" s="70">
        <v>8.0268453003901499</v>
      </c>
      <c r="AP67" s="71">
        <v>1.4297409242881201</v>
      </c>
      <c r="AQ67" s="71">
        <v>1.43959785735988</v>
      </c>
      <c r="AR67" s="72">
        <v>1.43882475</v>
      </c>
      <c r="AS67" s="72">
        <v>1.43501967</v>
      </c>
      <c r="AT67" s="70">
        <v>1.92694362761972</v>
      </c>
      <c r="AU67" s="70">
        <v>7.0528489563705099</v>
      </c>
      <c r="AV67" s="71">
        <v>1.3344714291803501</v>
      </c>
      <c r="AW67" s="71">
        <v>1.34541612676389</v>
      </c>
      <c r="AX67" s="72">
        <v>1.3780812</v>
      </c>
      <c r="AY67" s="72">
        <v>1.3826137700000001</v>
      </c>
      <c r="AZ67" s="70">
        <v>0.87043168998220699</v>
      </c>
      <c r="BA67" s="70">
        <v>3.3997198105517099</v>
      </c>
      <c r="BB67" s="71">
        <v>1.2868031746037101</v>
      </c>
      <c r="BC67" s="71">
        <v>1.2975591886339299</v>
      </c>
      <c r="BD67" s="72">
        <v>0.45531015000000002</v>
      </c>
      <c r="BE67" s="72">
        <v>0.48361617000000001</v>
      </c>
      <c r="BG67" s="31">
        <v>1.36946267375854</v>
      </c>
      <c r="BH67" s="31">
        <v>5.3052610526971398</v>
      </c>
      <c r="BI67" s="34">
        <v>1.44330183</v>
      </c>
      <c r="BJ67" s="34">
        <v>1.4643901500000001</v>
      </c>
      <c r="BK67" s="37">
        <v>1.54257344</v>
      </c>
      <c r="BL67" s="37">
        <v>1.5491732300000001</v>
      </c>
      <c r="BM67" s="31">
        <v>2.1845815141368501</v>
      </c>
      <c r="BN67" s="31">
        <v>8.0401773090444806</v>
      </c>
      <c r="BO67" s="34">
        <v>1.4723672000000001</v>
      </c>
      <c r="BP67" s="34">
        <v>1.4833384999999999</v>
      </c>
      <c r="BQ67" s="37">
        <v>1.45226451</v>
      </c>
      <c r="BR67" s="37">
        <v>1.45880627</v>
      </c>
      <c r="BS67" s="31">
        <v>1.9279664734219899</v>
      </c>
      <c r="BT67" s="31">
        <v>7.0498984552527997</v>
      </c>
      <c r="BU67" s="34">
        <v>1.3474680800000001</v>
      </c>
      <c r="BV67" s="34">
        <v>1.36185706</v>
      </c>
      <c r="BW67" s="37">
        <v>1.38715462</v>
      </c>
      <c r="BX67" s="37">
        <v>1.38755256</v>
      </c>
      <c r="BY67" s="31">
        <v>0.86043278082626096</v>
      </c>
      <c r="BZ67" s="31">
        <v>3.3930206270161798</v>
      </c>
      <c r="CA67" s="34">
        <v>1.27754324</v>
      </c>
      <c r="CB67" s="34">
        <v>1.31227907</v>
      </c>
      <c r="CC67" s="37">
        <v>0.41802479999999997</v>
      </c>
      <c r="CD67" s="95">
        <v>0.44545470999999998</v>
      </c>
      <c r="CE67" s="99" t="s">
        <v>51</v>
      </c>
    </row>
    <row r="68" spans="1:83" s="7" customFormat="1" ht="35.25" customHeight="1">
      <c r="A68" s="120"/>
      <c r="B68" s="120"/>
      <c r="C68" s="82" t="s">
        <v>74</v>
      </c>
      <c r="D68" s="85" t="s">
        <v>43</v>
      </c>
      <c r="E68" s="87" t="s">
        <v>45</v>
      </c>
      <c r="F68" s="129"/>
      <c r="G68" s="126"/>
      <c r="H68" s="126"/>
      <c r="I68" s="10" t="e">
        <f t="shared" si="16"/>
        <v>#DIV/0!</v>
      </c>
      <c r="J68" s="11" t="e">
        <f t="shared" si="17"/>
        <v>#DIV/0!</v>
      </c>
      <c r="K68" s="11" t="e">
        <f t="shared" si="24"/>
        <v>#DIV/0!</v>
      </c>
      <c r="L68" s="13" t="e">
        <f t="shared" si="18"/>
        <v>#DIV/0!</v>
      </c>
      <c r="M68" s="12" t="e">
        <f t="shared" si="25"/>
        <v>#DIV/0!</v>
      </c>
      <c r="O68" s="30" t="e">
        <f t="shared" si="26"/>
        <v>#DIV/0!</v>
      </c>
      <c r="P68" s="33" t="e">
        <f t="shared" si="27"/>
        <v>#DIV/0!</v>
      </c>
      <c r="Q68" s="33" t="e">
        <f t="shared" si="28"/>
        <v>#DIV/0!</v>
      </c>
      <c r="R68" s="36" t="e">
        <f t="shared" si="29"/>
        <v>#DIV/0!</v>
      </c>
      <c r="S68" s="36" t="e">
        <f t="shared" si="30"/>
        <v>#DIV/0!</v>
      </c>
      <c r="T68" s="16"/>
      <c r="U68" s="58" t="e">
        <f t="shared" si="12"/>
        <v>#DIV/0!</v>
      </c>
      <c r="V68" s="55" t="e">
        <f t="shared" si="19"/>
        <v>#DIV/0!</v>
      </c>
      <c r="W68" s="25" t="e">
        <f t="shared" si="20"/>
        <v>#DIV/0!</v>
      </c>
      <c r="X68" s="24"/>
      <c r="Y68" s="53" t="e">
        <f>(I68-I67)/I67*100</f>
        <v>#DIV/0!</v>
      </c>
      <c r="Z68" s="51" t="e">
        <f>(K68-K67)/K67 *100</f>
        <v>#DIV/0!</v>
      </c>
      <c r="AA68" s="27" t="e">
        <f>(M68-M67)/M67 *100</f>
        <v>#DIV/0!</v>
      </c>
      <c r="AB68" s="41"/>
      <c r="AC68" s="25" t="e">
        <f t="shared" si="21"/>
        <v>#DIV/0!</v>
      </c>
      <c r="AD68" s="25" t="e">
        <f t="shared" si="22"/>
        <v>#DIV/0!</v>
      </c>
      <c r="AE68" s="25" t="e">
        <f t="shared" si="23"/>
        <v>#DIV/0!</v>
      </c>
      <c r="AF68" s="9"/>
      <c r="AG68" s="112" t="s">
        <v>40</v>
      </c>
      <c r="AH68" s="70"/>
      <c r="AI68" s="70"/>
      <c r="AJ68" s="222"/>
      <c r="AK68" s="71"/>
      <c r="AL68" s="72"/>
      <c r="AM68" s="72"/>
      <c r="AN68" s="70"/>
      <c r="AO68" s="70"/>
      <c r="AP68" s="71"/>
      <c r="AQ68" s="71"/>
      <c r="AR68" s="72"/>
      <c r="AS68" s="72"/>
      <c r="AT68" s="70"/>
      <c r="AU68" s="70"/>
      <c r="AV68" s="71"/>
      <c r="AW68" s="71"/>
      <c r="AX68" s="72"/>
      <c r="AY68" s="72"/>
      <c r="AZ68" s="70"/>
      <c r="BA68" s="70"/>
      <c r="BB68" s="71"/>
      <c r="BC68" s="71"/>
      <c r="BD68" s="72"/>
      <c r="BE68" s="72"/>
      <c r="BG68" s="31"/>
      <c r="BH68" s="31"/>
      <c r="BI68" s="34"/>
      <c r="BJ68" s="34"/>
      <c r="BK68" s="37"/>
      <c r="BL68" s="37"/>
      <c r="BM68" s="31"/>
      <c r="BN68" s="31"/>
      <c r="BO68" s="34"/>
      <c r="BP68" s="34"/>
      <c r="BQ68" s="37"/>
      <c r="BR68" s="37"/>
      <c r="BS68" s="31"/>
      <c r="BT68" s="31"/>
      <c r="BU68" s="34"/>
      <c r="BV68" s="34"/>
      <c r="BW68" s="37"/>
      <c r="BX68" s="37"/>
      <c r="BY68" s="31"/>
      <c r="BZ68" s="31"/>
      <c r="CA68" s="34"/>
      <c r="CB68" s="34"/>
      <c r="CC68" s="37"/>
      <c r="CD68" s="95"/>
      <c r="CE68" s="97"/>
    </row>
    <row r="69" spans="1:83" s="7" customFormat="1" ht="35.25" customHeight="1">
      <c r="A69" s="120"/>
      <c r="B69" s="120"/>
      <c r="C69" s="82" t="s">
        <v>73</v>
      </c>
      <c r="D69" s="83" t="s">
        <v>38</v>
      </c>
      <c r="E69" s="87" t="s">
        <v>45</v>
      </c>
      <c r="F69" s="128" t="s">
        <v>48</v>
      </c>
      <c r="G69" s="126"/>
      <c r="H69" s="126"/>
      <c r="I69" s="10">
        <f t="shared" si="16"/>
        <v>3.892815839266436</v>
      </c>
      <c r="J69" s="11">
        <f t="shared" si="17"/>
        <v>1.4761127090494364</v>
      </c>
      <c r="K69" s="11">
        <f t="shared" si="24"/>
        <v>84.575028314155148</v>
      </c>
      <c r="L69" s="13">
        <f t="shared" si="18"/>
        <v>1.4253123699999999</v>
      </c>
      <c r="M69" s="12">
        <f t="shared" si="25"/>
        <v>81.664383288788798</v>
      </c>
      <c r="O69" s="30">
        <f t="shared" si="26"/>
        <v>3.8729610387476434</v>
      </c>
      <c r="P69" s="33">
        <f t="shared" si="27"/>
        <v>1.5130998775</v>
      </c>
      <c r="Q69" s="33">
        <f t="shared" si="28"/>
        <v>86.694236962511866</v>
      </c>
      <c r="R69" s="36">
        <f t="shared" si="29"/>
        <v>1.433335875</v>
      </c>
      <c r="S69" s="36">
        <f t="shared" si="30"/>
        <v>82.124096262190932</v>
      </c>
      <c r="T69" s="16"/>
      <c r="U69" s="58">
        <f t="shared" si="12"/>
        <v>44.130834764978964</v>
      </c>
      <c r="V69" s="55">
        <f t="shared" si="19"/>
        <v>258.58086652601753</v>
      </c>
      <c r="W69" s="25">
        <f t="shared" si="20"/>
        <v>227.15287513105116</v>
      </c>
      <c r="X69" s="24"/>
      <c r="Y69" s="53"/>
      <c r="Z69" s="49"/>
      <c r="AA69" s="26"/>
      <c r="AB69" s="39"/>
      <c r="AC69" s="25">
        <f t="shared" si="21"/>
        <v>-0.51003698450153423</v>
      </c>
      <c r="AD69" s="25">
        <f t="shared" si="22"/>
        <v>2.5057143823645998</v>
      </c>
      <c r="AE69" s="25">
        <f t="shared" si="23"/>
        <v>0.56292958434089446</v>
      </c>
      <c r="AF69" s="9"/>
      <c r="AG69" s="112" t="s">
        <v>40</v>
      </c>
      <c r="AH69" s="70">
        <v>1.4156936813045899</v>
      </c>
      <c r="AI69" s="70">
        <v>5.5125696104933697</v>
      </c>
      <c r="AJ69" s="222">
        <v>1.5528514565090701</v>
      </c>
      <c r="AK69" s="71">
        <v>1.5837945608456001</v>
      </c>
      <c r="AL69" s="72">
        <v>1.7151535200000001</v>
      </c>
      <c r="AM69" s="72">
        <v>1.7229066500000001</v>
      </c>
      <c r="AN69" s="70">
        <v>2.2055917296071201</v>
      </c>
      <c r="AO69" s="70">
        <v>8.1423484699254605</v>
      </c>
      <c r="AP69" s="71">
        <v>1.34509988745577</v>
      </c>
      <c r="AQ69" s="71">
        <v>1.34756133283866</v>
      </c>
      <c r="AR69" s="72">
        <v>1.4292644699999999</v>
      </c>
      <c r="AS69" s="72">
        <v>1.4296616499999999</v>
      </c>
      <c r="AT69" s="70">
        <v>1.97401805945979</v>
      </c>
      <c r="AU69" s="70">
        <v>7.2308124670553804</v>
      </c>
      <c r="AV69" s="71">
        <v>1.4679764226710901</v>
      </c>
      <c r="AW69" s="71">
        <v>1.48240708882734</v>
      </c>
      <c r="AX69" s="72">
        <v>1.55782887</v>
      </c>
      <c r="AY69" s="72">
        <v>1.5520351800000001</v>
      </c>
      <c r="AZ69" s="70">
        <v>0.94362486092842701</v>
      </c>
      <c r="BA69" s="70">
        <v>3.71786783535735</v>
      </c>
      <c r="BB69" s="71">
        <v>1.49269635690443</v>
      </c>
      <c r="BC69" s="71">
        <v>1.53651456634353</v>
      </c>
      <c r="BD69" s="72">
        <v>0.93622969</v>
      </c>
      <c r="BE69" s="72">
        <v>1.0594189300000001</v>
      </c>
      <c r="BG69" s="31">
        <v>1.4135834213337299</v>
      </c>
      <c r="BH69" s="31">
        <v>5.4930314409516203</v>
      </c>
      <c r="BI69" s="34">
        <v>1.5543635</v>
      </c>
      <c r="BJ69" s="34">
        <v>1.58118618</v>
      </c>
      <c r="BK69" s="37">
        <v>1.72767253</v>
      </c>
      <c r="BL69" s="37">
        <v>1.72001815</v>
      </c>
      <c r="BM69" s="31">
        <v>2.20382981691994</v>
      </c>
      <c r="BN69" s="31">
        <v>8.1114933116658801</v>
      </c>
      <c r="BO69" s="34">
        <v>1.50531167</v>
      </c>
      <c r="BP69" s="34">
        <v>1.51546899</v>
      </c>
      <c r="BQ69" s="37">
        <v>1.5385584400000001</v>
      </c>
      <c r="BR69" s="37">
        <v>1.5428205399999999</v>
      </c>
      <c r="BS69" s="31">
        <v>1.9730343266688899</v>
      </c>
      <c r="BT69" s="31">
        <v>7.2300768551332597</v>
      </c>
      <c r="BU69" s="34">
        <v>1.47898233</v>
      </c>
      <c r="BV69" s="34">
        <v>1.49470623</v>
      </c>
      <c r="BW69" s="37">
        <v>1.56158267</v>
      </c>
      <c r="BX69" s="37">
        <v>1.56770729</v>
      </c>
      <c r="BY69" s="31">
        <v>0.92798395687322099</v>
      </c>
      <c r="BZ69" s="31">
        <v>3.6306551804346099</v>
      </c>
      <c r="CA69" s="34">
        <v>1.47726297</v>
      </c>
      <c r="CB69" s="34">
        <v>1.49751715</v>
      </c>
      <c r="CC69" s="37">
        <v>0.87108176999999998</v>
      </c>
      <c r="CD69" s="95">
        <v>0.93724560999999995</v>
      </c>
      <c r="CE69" s="99" t="s">
        <v>51</v>
      </c>
    </row>
    <row r="70" spans="1:83" s="7" customFormat="1" ht="35.25" customHeight="1">
      <c r="A70" s="121"/>
      <c r="B70" s="121"/>
      <c r="C70" s="82" t="s">
        <v>74</v>
      </c>
      <c r="D70" s="85" t="s">
        <v>43</v>
      </c>
      <c r="E70" s="87" t="s">
        <v>45</v>
      </c>
      <c r="F70" s="129"/>
      <c r="G70" s="127"/>
      <c r="H70" s="127"/>
      <c r="I70" s="10" t="e">
        <f t="shared" si="16"/>
        <v>#DIV/0!</v>
      </c>
      <c r="J70" s="11" t="e">
        <f t="shared" si="17"/>
        <v>#DIV/0!</v>
      </c>
      <c r="K70" s="11" t="e">
        <f t="shared" si="24"/>
        <v>#DIV/0!</v>
      </c>
      <c r="L70" s="13" t="e">
        <f t="shared" si="18"/>
        <v>#DIV/0!</v>
      </c>
      <c r="M70" s="12" t="e">
        <f t="shared" si="25"/>
        <v>#DIV/0!</v>
      </c>
      <c r="O70" s="30" t="e">
        <f t="shared" si="26"/>
        <v>#DIV/0!</v>
      </c>
      <c r="P70" s="33" t="e">
        <f t="shared" si="27"/>
        <v>#DIV/0!</v>
      </c>
      <c r="Q70" s="33" t="e">
        <f t="shared" si="28"/>
        <v>#DIV/0!</v>
      </c>
      <c r="R70" s="36" t="e">
        <f t="shared" si="29"/>
        <v>#DIV/0!</v>
      </c>
      <c r="S70" s="36" t="e">
        <f t="shared" si="30"/>
        <v>#DIV/0!</v>
      </c>
      <c r="T70" s="16"/>
      <c r="U70" s="60" t="e">
        <f t="shared" si="12"/>
        <v>#DIV/0!</v>
      </c>
      <c r="V70" s="57" t="e">
        <f t="shared" si="19"/>
        <v>#DIV/0!</v>
      </c>
      <c r="W70" s="46" t="e">
        <f t="shared" si="20"/>
        <v>#DIV/0!</v>
      </c>
      <c r="X70" s="24"/>
      <c r="Y70" s="61" t="e">
        <f>(I70-I69)/I69*100</f>
        <v>#DIV/0!</v>
      </c>
      <c r="Z70" s="68" t="e">
        <f>(K70-K69)/K69 *100</f>
        <v>#DIV/0!</v>
      </c>
      <c r="AA70" s="69" t="e">
        <f>(M70-M69)/M69 *100</f>
        <v>#DIV/0!</v>
      </c>
      <c r="AB70" s="41"/>
      <c r="AC70" s="46" t="e">
        <f t="shared" si="21"/>
        <v>#DIV/0!</v>
      </c>
      <c r="AD70" s="46" t="e">
        <f t="shared" si="22"/>
        <v>#DIV/0!</v>
      </c>
      <c r="AE70" s="46" t="e">
        <f t="shared" si="23"/>
        <v>#DIV/0!</v>
      </c>
      <c r="AF70" s="9"/>
      <c r="AG70" s="112" t="s">
        <v>40</v>
      </c>
      <c r="AH70" s="70"/>
      <c r="AI70" s="70"/>
      <c r="AJ70" s="222"/>
      <c r="AK70" s="71"/>
      <c r="AL70" s="72"/>
      <c r="AM70" s="72"/>
      <c r="AN70" s="70"/>
      <c r="AO70" s="70"/>
      <c r="AP70" s="71"/>
      <c r="AQ70" s="71"/>
      <c r="AR70" s="72"/>
      <c r="AS70" s="72"/>
      <c r="AT70" s="70"/>
      <c r="AU70" s="70"/>
      <c r="AV70" s="71"/>
      <c r="AW70" s="71"/>
      <c r="AX70" s="72"/>
      <c r="AY70" s="72"/>
      <c r="AZ70" s="70"/>
      <c r="BA70" s="70"/>
      <c r="BB70" s="71"/>
      <c r="BC70" s="71"/>
      <c r="BD70" s="72"/>
      <c r="BE70" s="72"/>
      <c r="BG70" s="31"/>
      <c r="BH70" s="31"/>
      <c r="BI70" s="34"/>
      <c r="BJ70" s="34"/>
      <c r="BK70" s="37"/>
      <c r="BL70" s="37"/>
      <c r="BM70" s="31"/>
      <c r="BN70" s="31"/>
      <c r="BO70" s="34"/>
      <c r="BP70" s="34"/>
      <c r="BQ70" s="37"/>
      <c r="BR70" s="37"/>
      <c r="BS70" s="31"/>
      <c r="BT70" s="31"/>
      <c r="BU70" s="34"/>
      <c r="BV70" s="34"/>
      <c r="BW70" s="37"/>
      <c r="BX70" s="37"/>
      <c r="BY70" s="31"/>
      <c r="BZ70" s="31"/>
      <c r="CA70" s="34"/>
      <c r="CB70" s="34"/>
      <c r="CC70" s="37"/>
      <c r="CD70" s="95"/>
      <c r="CE70" s="97"/>
    </row>
    <row r="71" spans="1:83" s="7" customFormat="1" ht="35.25" customHeight="1">
      <c r="A71" s="42"/>
      <c r="B71" s="42"/>
      <c r="C71" s="42"/>
      <c r="D71" s="43"/>
      <c r="E71" s="43"/>
      <c r="F71" s="44"/>
      <c r="G71" s="44"/>
      <c r="H71" s="44"/>
      <c r="I71" s="21"/>
      <c r="J71" s="21"/>
      <c r="K71" s="21"/>
      <c r="L71" s="21"/>
      <c r="M71" s="21"/>
      <c r="O71" s="21"/>
      <c r="P71" s="21"/>
      <c r="Q71" s="21"/>
      <c r="R71" s="21"/>
      <c r="S71" s="21"/>
      <c r="T71" s="16"/>
      <c r="U71" s="119" t="s">
        <v>75</v>
      </c>
      <c r="V71" s="119"/>
      <c r="W71" s="119"/>
      <c r="X71" s="119"/>
      <c r="Y71" s="119"/>
      <c r="Z71" s="119"/>
      <c r="AA71" s="119"/>
      <c r="AB71" s="119"/>
      <c r="AC71" s="119"/>
      <c r="AD71" s="119"/>
      <c r="AE71" s="119"/>
      <c r="AF71" s="9"/>
      <c r="AG71" s="9"/>
      <c r="AH71" s="45"/>
      <c r="AI71" s="45"/>
      <c r="AJ71" s="45"/>
      <c r="AK71" s="45"/>
      <c r="AL71" s="45"/>
      <c r="AM71" s="45"/>
      <c r="AN71" s="45"/>
      <c r="AO71" s="45"/>
      <c r="AP71" s="45"/>
      <c r="AQ71" s="45"/>
      <c r="AR71" s="45"/>
      <c r="AS71" s="45"/>
      <c r="AT71" s="45"/>
      <c r="AU71" s="45"/>
      <c r="AV71" s="45"/>
      <c r="AW71" s="45"/>
      <c r="AX71" s="45"/>
      <c r="AY71" s="45"/>
      <c r="AZ71" s="45"/>
      <c r="BA71" s="45"/>
      <c r="BB71" s="45"/>
      <c r="BC71" s="45"/>
      <c r="BD71" s="45"/>
      <c r="BE71" s="45"/>
      <c r="BG71" s="45"/>
      <c r="BH71" s="45"/>
      <c r="BI71" s="45"/>
      <c r="BJ71" s="45"/>
      <c r="BK71" s="45"/>
      <c r="BL71" s="45"/>
      <c r="BM71" s="45"/>
      <c r="BN71" s="45"/>
      <c r="BO71" s="45"/>
      <c r="BP71" s="45"/>
      <c r="BQ71" s="45"/>
      <c r="BR71" s="45"/>
      <c r="BS71" s="45"/>
      <c r="BT71" s="45"/>
      <c r="BU71" s="45"/>
      <c r="BV71" s="45"/>
      <c r="BW71" s="45"/>
      <c r="BX71" s="45"/>
      <c r="BY71" s="45"/>
      <c r="BZ71" s="45"/>
      <c r="CA71" s="45"/>
      <c r="CB71" s="45"/>
      <c r="CC71" s="45"/>
      <c r="CD71" s="45"/>
    </row>
    <row r="72" spans="1:83" s="7" customFormat="1" ht="35.25" customHeight="1">
      <c r="N72" s="6"/>
      <c r="T72" s="16"/>
      <c r="U72" s="62"/>
      <c r="V72" s="63"/>
      <c r="W72" s="64"/>
      <c r="X72" s="19"/>
      <c r="Y72" s="65" t="e">
        <f>AVERAGE(Y6:Y70)</f>
        <v>#DIV/0!</v>
      </c>
      <c r="Z72" s="63" t="e">
        <f>AVERAGE(Z6:Z70)</f>
        <v>#DIV/0!</v>
      </c>
      <c r="AA72" s="64" t="e">
        <f>AVERAGE(AA6:AA70)</f>
        <v>#DIV/0!</v>
      </c>
      <c r="AB72" s="47"/>
      <c r="AC72" s="64" t="e">
        <f>AVERAGE(AC6:AC70)</f>
        <v>#DIV/0!</v>
      </c>
      <c r="AD72" s="64" t="e">
        <f>AVERAGE(AD6:AD70)</f>
        <v>#DIV/0!</v>
      </c>
      <c r="AE72" s="64" t="e">
        <f>AVERAGE(AE6:AE70)</f>
        <v>#DIV/0!</v>
      </c>
    </row>
    <row r="73" spans="1:83">
      <c r="T73" s="16"/>
    </row>
    <row r="74" spans="1:83" ht="17.649999999999999">
      <c r="T74" s="16"/>
    </row>
    <row r="75" spans="1:83" ht="17.649999999999999">
      <c r="T75" s="16"/>
    </row>
    <row r="76" spans="1:83" ht="17.649999999999999">
      <c r="T76" s="16"/>
    </row>
    <row r="77" spans="1:83" ht="17.649999999999999">
      <c r="T77" s="16"/>
    </row>
    <row r="78" spans="1:83" ht="17.649999999999999">
      <c r="T78" s="16"/>
    </row>
    <row r="79" spans="1:83" ht="17.649999999999999">
      <c r="T79" s="16"/>
    </row>
    <row r="80" spans="1:83" ht="17.649999999999999">
      <c r="T80" s="16"/>
    </row>
    <row r="81" spans="20:20" ht="17.649999999999999">
      <c r="T81" s="16"/>
    </row>
    <row r="82" spans="20:20" ht="17.649999999999999">
      <c r="T82" s="16"/>
    </row>
    <row r="83" spans="20:20" ht="17.649999999999999">
      <c r="T83" s="16"/>
    </row>
    <row r="84" spans="20:20" ht="17.649999999999999">
      <c r="T84" s="16"/>
    </row>
    <row r="85" spans="20:20" ht="17.649999999999999">
      <c r="T85" s="16"/>
    </row>
    <row r="86" spans="20:20" ht="17.649999999999999">
      <c r="T86" s="16"/>
    </row>
    <row r="87" spans="20:20" ht="17.649999999999999">
      <c r="T87" s="16"/>
    </row>
    <row r="88" spans="20:20" ht="17.649999999999999">
      <c r="T88" s="16"/>
    </row>
    <row r="89" spans="20:20" ht="17.649999999999999">
      <c r="T89" s="16"/>
    </row>
    <row r="90" spans="20:20" ht="17.649999999999999">
      <c r="T90" s="16"/>
    </row>
    <row r="91" spans="20:20" ht="17.649999999999999">
      <c r="T91" s="16"/>
    </row>
    <row r="92" spans="20:20" ht="17.649999999999999">
      <c r="T92" s="16"/>
    </row>
    <row r="93" spans="20:20" ht="17.649999999999999">
      <c r="T93" s="16"/>
    </row>
    <row r="94" spans="20:20" ht="17.649999999999999">
      <c r="T94" s="16"/>
    </row>
    <row r="95" spans="20:20" ht="17.649999999999999">
      <c r="T95" s="16"/>
    </row>
    <row r="96" spans="20:20" ht="17.649999999999999">
      <c r="T96" s="16"/>
    </row>
    <row r="97" spans="20:20" ht="17.649999999999999">
      <c r="T97" s="16"/>
    </row>
    <row r="98" spans="20:20" ht="17.649999999999999">
      <c r="T98" s="16"/>
    </row>
    <row r="99" spans="20:20" ht="17.649999999999999">
      <c r="T99" s="16"/>
    </row>
    <row r="100" spans="20:20" ht="17.649999999999999">
      <c r="T100" s="16"/>
    </row>
    <row r="101" spans="20:20" ht="17.649999999999999">
      <c r="T101" s="16"/>
    </row>
    <row r="102" spans="20:20" ht="17.649999999999999">
      <c r="T102" s="16"/>
    </row>
    <row r="103" spans="20:20" ht="17.649999999999999">
      <c r="T103" s="16"/>
    </row>
    <row r="104" spans="20:20" ht="17.649999999999999">
      <c r="T104" s="16"/>
    </row>
    <row r="105" spans="20:20" ht="17.649999999999999">
      <c r="T105" s="16"/>
    </row>
    <row r="106" spans="20:20" ht="17.649999999999999">
      <c r="T106" s="16"/>
    </row>
    <row r="107" spans="20:20" ht="17.649999999999999">
      <c r="T107" s="16"/>
    </row>
    <row r="108" spans="20:20" ht="17.649999999999999">
      <c r="T108" s="16"/>
    </row>
    <row r="109" spans="20:20" ht="17.649999999999999">
      <c r="T109" s="16"/>
    </row>
    <row r="110" spans="20:20" ht="17.649999999999999">
      <c r="T110" s="16"/>
    </row>
    <row r="111" spans="20:20" ht="17.649999999999999">
      <c r="T111" s="16"/>
    </row>
    <row r="112" spans="20:20" ht="17.649999999999999">
      <c r="T112" s="16"/>
    </row>
    <row r="113" spans="20:20" ht="17.649999999999999">
      <c r="T113" s="16"/>
    </row>
    <row r="114" spans="20:20" ht="17.649999999999999">
      <c r="T114" s="16"/>
    </row>
    <row r="115" spans="20:20" ht="17.649999999999999">
      <c r="T115" s="16"/>
    </row>
    <row r="116" spans="20:20" ht="17.649999999999999">
      <c r="T116" s="16"/>
    </row>
    <row r="117" spans="20:20" ht="17.649999999999999">
      <c r="T117" s="16"/>
    </row>
    <row r="118" spans="20:20" ht="17.649999999999999">
      <c r="T118" s="16"/>
    </row>
    <row r="119" spans="20:20" ht="17.649999999999999">
      <c r="T119" s="16"/>
    </row>
    <row r="120" spans="20:20" ht="17.649999999999999">
      <c r="T120" s="16"/>
    </row>
    <row r="121" spans="20:20" ht="17.649999999999999">
      <c r="T121" s="16"/>
    </row>
    <row r="122" spans="20:20" ht="17.649999999999999">
      <c r="T122" s="16"/>
    </row>
    <row r="123" spans="20:20" ht="17.649999999999999">
      <c r="T123" s="16"/>
    </row>
    <row r="124" spans="20:20" ht="17.649999999999999">
      <c r="T124" s="16"/>
    </row>
    <row r="125" spans="20:20" ht="17.649999999999999">
      <c r="T125" s="16"/>
    </row>
    <row r="126" spans="20:20" ht="17.649999999999999">
      <c r="T126" s="16"/>
    </row>
    <row r="127" spans="20:20" ht="17.649999999999999">
      <c r="T127" s="16"/>
    </row>
    <row r="128" spans="20:20" ht="17.649999999999999">
      <c r="T128" s="16"/>
    </row>
    <row r="129" spans="20:20" ht="17.649999999999999">
      <c r="T129" s="16"/>
    </row>
    <row r="130" spans="20:20" ht="17.649999999999999">
      <c r="T130" s="16"/>
    </row>
    <row r="131" spans="20:20" ht="17.649999999999999">
      <c r="T131" s="16"/>
    </row>
    <row r="132" spans="20:20" ht="17.649999999999999">
      <c r="T132" s="16"/>
    </row>
    <row r="133" spans="20:20" ht="17.649999999999999">
      <c r="T133" s="16"/>
    </row>
    <row r="134" spans="20:20" ht="17.649999999999999">
      <c r="T134" s="16"/>
    </row>
    <row r="135" spans="20:20" ht="17.649999999999999">
      <c r="T135" s="16"/>
    </row>
    <row r="136" spans="20:20" ht="17.649999999999999">
      <c r="T136" s="16"/>
    </row>
    <row r="137" spans="20:20" ht="17.649999999999999">
      <c r="T137" s="16"/>
    </row>
    <row r="138" spans="20:20" ht="17.649999999999999">
      <c r="T138" s="16"/>
    </row>
    <row r="139" spans="20:20" ht="17.649999999999999">
      <c r="T139" s="16"/>
    </row>
    <row r="140" spans="20:20" ht="17.649999999999999">
      <c r="T140" s="16"/>
    </row>
    <row r="141" spans="20:20" ht="17.649999999999999">
      <c r="T141" s="16"/>
    </row>
    <row r="142" spans="20:20" ht="17.649999999999999">
      <c r="T142" s="16"/>
    </row>
    <row r="143" spans="20:20" ht="17.649999999999999">
      <c r="T143" s="16"/>
    </row>
    <row r="144" spans="20:20" ht="17.649999999999999">
      <c r="T144" s="16"/>
    </row>
    <row r="145" spans="20:20" ht="17.649999999999999">
      <c r="T145" s="16"/>
    </row>
    <row r="146" spans="20:20" ht="17.649999999999999">
      <c r="T146" s="16"/>
    </row>
    <row r="147" spans="20:20" ht="17.649999999999999">
      <c r="T147" s="16"/>
    </row>
    <row r="148" spans="20:20" ht="17.649999999999999">
      <c r="T148" s="16"/>
    </row>
    <row r="149" spans="20:20" ht="17.649999999999999">
      <c r="T149" s="16"/>
    </row>
    <row r="150" spans="20:20" ht="17.649999999999999">
      <c r="T150" s="16"/>
    </row>
    <row r="151" spans="20:20" ht="17.649999999999999">
      <c r="T151" s="16"/>
    </row>
    <row r="152" spans="20:20" ht="17.649999999999999">
      <c r="T152" s="16"/>
    </row>
    <row r="153" spans="20:20" ht="17.649999999999999">
      <c r="T153" s="16"/>
    </row>
    <row r="154" spans="20:20" ht="17.649999999999999">
      <c r="T154" s="16"/>
    </row>
    <row r="155" spans="20:20" ht="17.649999999999999">
      <c r="T155" s="16"/>
    </row>
    <row r="156" spans="20:20" ht="17.649999999999999">
      <c r="T156" s="16"/>
    </row>
    <row r="157" spans="20:20" ht="17.649999999999999">
      <c r="T157" s="16"/>
    </row>
    <row r="158" spans="20:20" ht="17.649999999999999">
      <c r="T158" s="18"/>
    </row>
  </sheetData>
  <mergeCells count="134">
    <mergeCell ref="CE1:CE4"/>
    <mergeCell ref="A1:A4"/>
    <mergeCell ref="B1:B4"/>
    <mergeCell ref="C1:C4"/>
    <mergeCell ref="D1:D4"/>
    <mergeCell ref="E1:E4"/>
    <mergeCell ref="F1:F4"/>
    <mergeCell ref="G1:G4"/>
    <mergeCell ref="H1:H4"/>
    <mergeCell ref="I1:S1"/>
    <mergeCell ref="I2:M2"/>
    <mergeCell ref="I3:I4"/>
    <mergeCell ref="J3:J4"/>
    <mergeCell ref="K3:K4"/>
    <mergeCell ref="L3:L4"/>
    <mergeCell ref="M3:M4"/>
    <mergeCell ref="O3:O4"/>
    <mergeCell ref="P3:P4"/>
    <mergeCell ref="Q3:Q4"/>
    <mergeCell ref="U1:W2"/>
    <mergeCell ref="Y1:AA2"/>
    <mergeCell ref="AC1:AE2"/>
    <mergeCell ref="R3:R4"/>
    <mergeCell ref="S3:S4"/>
    <mergeCell ref="AE3:AE4"/>
    <mergeCell ref="AN3:AO3"/>
    <mergeCell ref="AP3:AQ3"/>
    <mergeCell ref="CC3:CD3"/>
    <mergeCell ref="BQ3:BR3"/>
    <mergeCell ref="BS3:BT3"/>
    <mergeCell ref="BU3:BV3"/>
    <mergeCell ref="BW3:BX3"/>
    <mergeCell ref="BY3:BZ3"/>
    <mergeCell ref="CA3:CB3"/>
    <mergeCell ref="BD3:BE3"/>
    <mergeCell ref="BG3:BH3"/>
    <mergeCell ref="BI3:BJ3"/>
    <mergeCell ref="BK3:BL3"/>
    <mergeCell ref="BM3:BN3"/>
    <mergeCell ref="BO3:BP3"/>
    <mergeCell ref="AR3:AS3"/>
    <mergeCell ref="AT3:AU3"/>
    <mergeCell ref="W3:W4"/>
    <mergeCell ref="AH3:AI3"/>
    <mergeCell ref="A8:A13"/>
    <mergeCell ref="F8:F9"/>
    <mergeCell ref="F10:F11"/>
    <mergeCell ref="F12:F13"/>
    <mergeCell ref="AH1:BE1"/>
    <mergeCell ref="BG1:CD1"/>
    <mergeCell ref="O2:S2"/>
    <mergeCell ref="AH2:AM2"/>
    <mergeCell ref="AN2:AS2"/>
    <mergeCell ref="AT2:AY2"/>
    <mergeCell ref="AZ2:BE2"/>
    <mergeCell ref="BG2:BL2"/>
    <mergeCell ref="BM2:BR2"/>
    <mergeCell ref="Y3:Y4"/>
    <mergeCell ref="Z3:Z4"/>
    <mergeCell ref="AA3:AA4"/>
    <mergeCell ref="AC3:AC4"/>
    <mergeCell ref="AD3:AD4"/>
    <mergeCell ref="BS2:BX2"/>
    <mergeCell ref="BY2:CD2"/>
    <mergeCell ref="AV3:AW3"/>
    <mergeCell ref="AX3:AY3"/>
    <mergeCell ref="AZ3:BA3"/>
    <mergeCell ref="BB3:BC3"/>
    <mergeCell ref="F28:F29"/>
    <mergeCell ref="A14:A21"/>
    <mergeCell ref="B14:B21"/>
    <mergeCell ref="F14:F15"/>
    <mergeCell ref="G14:G21"/>
    <mergeCell ref="H14:H21"/>
    <mergeCell ref="F16:F17"/>
    <mergeCell ref="F18:F19"/>
    <mergeCell ref="F20:F21"/>
    <mergeCell ref="AJ3:AK3"/>
    <mergeCell ref="AL3:AM3"/>
    <mergeCell ref="A39:A46"/>
    <mergeCell ref="B39:B46"/>
    <mergeCell ref="F39:F40"/>
    <mergeCell ref="G39:G46"/>
    <mergeCell ref="H39:H46"/>
    <mergeCell ref="F41:F42"/>
    <mergeCell ref="F43:F44"/>
    <mergeCell ref="F45:F46"/>
    <mergeCell ref="A30:A37"/>
    <mergeCell ref="B30:B37"/>
    <mergeCell ref="F30:F31"/>
    <mergeCell ref="G30:G37"/>
    <mergeCell ref="H30:H37"/>
    <mergeCell ref="F32:F33"/>
    <mergeCell ref="F34:F35"/>
    <mergeCell ref="F36:F37"/>
    <mergeCell ref="U3:U4"/>
    <mergeCell ref="V3:V4"/>
    <mergeCell ref="A22:A29"/>
    <mergeCell ref="B22:B29"/>
    <mergeCell ref="F22:F23"/>
    <mergeCell ref="G6:G13"/>
    <mergeCell ref="H6:H13"/>
    <mergeCell ref="A55:A62"/>
    <mergeCell ref="B55:B62"/>
    <mergeCell ref="F55:F56"/>
    <mergeCell ref="G55:G62"/>
    <mergeCell ref="H55:H62"/>
    <mergeCell ref="F57:F58"/>
    <mergeCell ref="F59:F60"/>
    <mergeCell ref="F61:F62"/>
    <mergeCell ref="A47:A54"/>
    <mergeCell ref="B47:B54"/>
    <mergeCell ref="F47:F48"/>
    <mergeCell ref="G47:G54"/>
    <mergeCell ref="H47:H54"/>
    <mergeCell ref="F49:F50"/>
    <mergeCell ref="F51:F52"/>
    <mergeCell ref="F53:F54"/>
    <mergeCell ref="A6:A7"/>
    <mergeCell ref="B6:B13"/>
    <mergeCell ref="F6:F7"/>
    <mergeCell ref="G22:G29"/>
    <mergeCell ref="H22:H29"/>
    <mergeCell ref="F24:F25"/>
    <mergeCell ref="F26:F27"/>
    <mergeCell ref="U71:AE71"/>
    <mergeCell ref="A63:A70"/>
    <mergeCell ref="B63:B70"/>
    <mergeCell ref="F63:F64"/>
    <mergeCell ref="G63:G70"/>
    <mergeCell ref="H63:H70"/>
    <mergeCell ref="F65:F66"/>
    <mergeCell ref="F67:F68"/>
    <mergeCell ref="F69:F70"/>
  </mergeCells>
  <conditionalFormatting sqref="U6:W70">
    <cfRule type="cellIs" dxfId="7" priority="12" operator="greaterThanOrEqual">
      <formula>100</formula>
    </cfRule>
    <cfRule type="cellIs" dxfId="6" priority="13" operator="lessThanOrEqual">
      <formula>0</formula>
    </cfRule>
    <cfRule type="colorScale" priority="14">
      <colorScale>
        <cfvo type="min"/>
        <cfvo type="max"/>
        <color rgb="FFFCFCFF"/>
        <color rgb="FFF8696B"/>
      </colorScale>
    </cfRule>
  </conditionalFormatting>
  <conditionalFormatting sqref="Y6:AA70">
    <cfRule type="cellIs" dxfId="5" priority="15" operator="lessThan">
      <formula>0</formula>
    </cfRule>
    <cfRule type="cellIs" dxfId="4" priority="16" operator="greaterThan">
      <formula>0</formula>
    </cfRule>
  </conditionalFormatting>
  <conditionalFormatting sqref="AB6:AB70">
    <cfRule type="colorScale" priority="18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AC6:AE70">
    <cfRule type="cellIs" dxfId="3" priority="10" operator="lessThanOrEqual">
      <formula>0</formula>
    </cfRule>
    <cfRule type="cellIs" dxfId="2" priority="11" operator="greaterThan">
      <formula>0</formula>
    </cfRule>
  </conditionalFormatting>
  <conditionalFormatting sqref="X6:X37 U71 X39:X70">
    <cfRule type="colorScale" priority="7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83D22A-3724-48F8-9162-11A6701B9384}">
  <dimension ref="A1:AJ38"/>
  <sheetViews>
    <sheetView tabSelected="1" zoomScale="46" workbookViewId="0">
      <selection activeCell="T16" sqref="T16"/>
    </sheetView>
  </sheetViews>
  <sheetFormatPr defaultRowHeight="15" customHeight="1"/>
  <cols>
    <col min="1" max="1" width="19.140625" customWidth="1"/>
    <col min="2" max="2" width="14.85546875" bestFit="1" customWidth="1"/>
    <col min="3" max="3" width="15.42578125" customWidth="1"/>
    <col min="4" max="4" width="16.5703125" bestFit="1" customWidth="1"/>
    <col min="5" max="5" width="13.42578125" customWidth="1"/>
    <col min="6" max="6" width="15.28515625" customWidth="1"/>
    <col min="7" max="9" width="15.5703125" customWidth="1"/>
    <col min="10" max="13" width="15.5703125" style="106" customWidth="1"/>
    <col min="14" max="14" width="16.5703125" style="106" bestFit="1" customWidth="1"/>
    <col min="15" max="15" width="24.42578125" style="106" customWidth="1"/>
    <col min="16" max="17" width="6.42578125" style="106" bestFit="1" customWidth="1"/>
    <col min="18" max="18" width="5" customWidth="1"/>
    <col min="19" max="19" width="12.42578125" customWidth="1"/>
    <col min="20" max="20" width="13.7109375" customWidth="1"/>
    <col min="21" max="27" width="15.5703125" customWidth="1"/>
    <col min="28" max="28" width="16.5703125" bestFit="1" customWidth="1"/>
    <col min="29" max="29" width="24.140625" customWidth="1"/>
    <col min="30" max="31" width="6.42578125" bestFit="1" customWidth="1"/>
    <col min="33" max="33" width="27.42578125" customWidth="1"/>
    <col min="34" max="34" width="23.42578125" bestFit="1" customWidth="1"/>
    <col min="35" max="35" width="21.42578125" customWidth="1"/>
    <col min="36" max="36" width="11.42578125" bestFit="1" customWidth="1"/>
  </cols>
  <sheetData>
    <row r="1" spans="1:36" ht="47.25" customHeight="1">
      <c r="A1" s="165" t="s">
        <v>0</v>
      </c>
      <c r="B1" s="167" t="s">
        <v>5</v>
      </c>
      <c r="C1" s="167" t="s">
        <v>6</v>
      </c>
      <c r="D1" s="214" t="s">
        <v>7</v>
      </c>
      <c r="E1" s="139" t="s">
        <v>76</v>
      </c>
      <c r="F1" s="139"/>
      <c r="G1" s="139"/>
      <c r="H1" s="139"/>
      <c r="I1" s="139"/>
      <c r="J1" s="139"/>
      <c r="K1" s="139"/>
      <c r="L1" s="139"/>
      <c r="M1" s="139"/>
      <c r="N1" s="139"/>
      <c r="O1" s="139"/>
      <c r="P1" s="139"/>
      <c r="Q1" s="139"/>
      <c r="R1" s="104"/>
      <c r="S1" s="139" t="s">
        <v>77</v>
      </c>
      <c r="T1" s="139"/>
      <c r="U1" s="139"/>
      <c r="V1" s="139"/>
      <c r="W1" s="139"/>
      <c r="X1" s="139"/>
      <c r="Y1" s="139"/>
      <c r="Z1" s="139"/>
      <c r="AA1" s="139"/>
      <c r="AB1" s="139"/>
      <c r="AC1" s="139"/>
      <c r="AD1" s="139"/>
      <c r="AE1" s="139"/>
      <c r="AG1" s="110" t="s">
        <v>78</v>
      </c>
      <c r="AH1" s="110" t="s">
        <v>79</v>
      </c>
      <c r="AI1" s="110" t="s">
        <v>80</v>
      </c>
      <c r="AJ1" s="110" t="s">
        <v>81</v>
      </c>
    </row>
    <row r="2" spans="1:36" ht="44.25" customHeight="1">
      <c r="A2" s="166"/>
      <c r="B2" s="168"/>
      <c r="C2" s="168"/>
      <c r="D2" s="171"/>
      <c r="E2" s="212" t="s">
        <v>82</v>
      </c>
      <c r="F2" s="215" t="s">
        <v>83</v>
      </c>
      <c r="G2" s="190" t="s">
        <v>84</v>
      </c>
      <c r="H2" s="190"/>
      <c r="I2" s="191"/>
      <c r="J2" s="184" t="s">
        <v>85</v>
      </c>
      <c r="K2" s="184"/>
      <c r="L2" s="184"/>
      <c r="M2" s="183" t="s">
        <v>86</v>
      </c>
      <c r="N2" s="185" t="s">
        <v>87</v>
      </c>
      <c r="O2" s="185" t="s">
        <v>88</v>
      </c>
      <c r="P2" s="185" t="s">
        <v>89</v>
      </c>
      <c r="Q2" s="185" t="s">
        <v>90</v>
      </c>
      <c r="S2" s="166" t="s">
        <v>82</v>
      </c>
      <c r="T2" s="215" t="s">
        <v>83</v>
      </c>
      <c r="U2" s="190" t="s">
        <v>84</v>
      </c>
      <c r="V2" s="190"/>
      <c r="W2" s="191"/>
      <c r="X2" s="184" t="s">
        <v>85</v>
      </c>
      <c r="Y2" s="184"/>
      <c r="Z2" s="184"/>
      <c r="AA2" s="183" t="s">
        <v>86</v>
      </c>
      <c r="AB2" s="185" t="s">
        <v>87</v>
      </c>
      <c r="AC2" s="185" t="s">
        <v>91</v>
      </c>
      <c r="AD2" s="185" t="s">
        <v>89</v>
      </c>
      <c r="AE2" s="185" t="s">
        <v>90</v>
      </c>
      <c r="AG2" s="111">
        <v>370</v>
      </c>
      <c r="AH2" s="111">
        <v>128</v>
      </c>
      <c r="AI2" s="111">
        <v>1.5</v>
      </c>
      <c r="AJ2" s="111">
        <v>32</v>
      </c>
    </row>
    <row r="3" spans="1:36" ht="17.649999999999999" customHeight="1">
      <c r="A3" s="166"/>
      <c r="B3" s="168"/>
      <c r="C3" s="168"/>
      <c r="D3" s="171"/>
      <c r="E3" s="212"/>
      <c r="F3" s="215"/>
      <c r="G3" s="174" t="s">
        <v>21</v>
      </c>
      <c r="H3" s="176" t="s">
        <v>23</v>
      </c>
      <c r="I3" s="192" t="s">
        <v>25</v>
      </c>
      <c r="J3" s="187" t="s">
        <v>92</v>
      </c>
      <c r="K3" s="187" t="s">
        <v>93</v>
      </c>
      <c r="L3" s="187" t="s">
        <v>94</v>
      </c>
      <c r="M3" s="183"/>
      <c r="N3" s="186"/>
      <c r="O3" s="186"/>
      <c r="P3" s="186"/>
      <c r="Q3" s="186"/>
      <c r="S3" s="166"/>
      <c r="T3" s="215"/>
      <c r="U3" s="179" t="s">
        <v>21</v>
      </c>
      <c r="V3" s="181" t="s">
        <v>23</v>
      </c>
      <c r="W3" s="158" t="s">
        <v>25</v>
      </c>
      <c r="X3" s="187" t="s">
        <v>92</v>
      </c>
      <c r="Y3" s="187" t="s">
        <v>93</v>
      </c>
      <c r="Z3" s="187" t="s">
        <v>94</v>
      </c>
      <c r="AA3" s="183"/>
      <c r="AB3" s="186"/>
      <c r="AC3" s="186"/>
      <c r="AD3" s="186"/>
      <c r="AE3" s="186"/>
    </row>
    <row r="4" spans="1:36" ht="42.75" customHeight="1">
      <c r="A4" s="141"/>
      <c r="B4" s="169"/>
      <c r="C4" s="169"/>
      <c r="D4" s="172"/>
      <c r="E4" s="213"/>
      <c r="F4" s="216"/>
      <c r="G4" s="175"/>
      <c r="H4" s="177"/>
      <c r="I4" s="192"/>
      <c r="J4" s="187"/>
      <c r="K4" s="187"/>
      <c r="L4" s="187"/>
      <c r="M4" s="184"/>
      <c r="N4" s="186"/>
      <c r="O4" s="186"/>
      <c r="P4" s="186"/>
      <c r="Q4" s="186"/>
      <c r="S4" s="141"/>
      <c r="T4" s="216"/>
      <c r="U4" s="180"/>
      <c r="V4" s="182"/>
      <c r="W4" s="158"/>
      <c r="X4" s="187"/>
      <c r="Y4" s="187"/>
      <c r="Z4" s="187"/>
      <c r="AA4" s="184"/>
      <c r="AB4" s="186"/>
      <c r="AC4" s="186"/>
      <c r="AD4" s="186"/>
      <c r="AE4" s="186"/>
      <c r="AG4" s="217" t="s">
        <v>95</v>
      </c>
      <c r="AH4" s="217" t="s">
        <v>96</v>
      </c>
      <c r="AI4" s="217" t="s">
        <v>97</v>
      </c>
    </row>
    <row r="6" spans="1:36" ht="37.5">
      <c r="A6" s="113" t="s">
        <v>35</v>
      </c>
      <c r="B6" s="115" t="s">
        <v>39</v>
      </c>
      <c r="C6" s="122">
        <v>32</v>
      </c>
      <c r="D6" s="122">
        <v>8</v>
      </c>
      <c r="E6" s="108" t="b">
        <v>0</v>
      </c>
      <c r="F6" s="86" t="s">
        <v>38</v>
      </c>
      <c r="G6" s="10">
        <v>2.7008903720110249</v>
      </c>
      <c r="H6" s="11">
        <v>23.586040474922733</v>
      </c>
      <c r="I6" s="13">
        <v>24.962147514698017</v>
      </c>
      <c r="J6" s="193">
        <v>152.27000000000001</v>
      </c>
      <c r="K6" s="193">
        <v>76.771000000000001</v>
      </c>
      <c r="L6" s="193">
        <v>75.497</v>
      </c>
      <c r="M6" s="193">
        <v>7350.5169999999998</v>
      </c>
      <c r="N6" s="193" t="s">
        <v>38</v>
      </c>
      <c r="O6" s="193" t="s">
        <v>38</v>
      </c>
      <c r="P6" s="209" t="s">
        <v>38</v>
      </c>
      <c r="Q6" s="211" t="s">
        <v>38</v>
      </c>
      <c r="R6" s="6"/>
      <c r="S6" s="108" t="b">
        <v>0</v>
      </c>
      <c r="T6" s="86" t="s">
        <v>38</v>
      </c>
      <c r="U6" s="30">
        <v>2.7545574296947533</v>
      </c>
      <c r="V6" s="33">
        <v>23.321302959593233</v>
      </c>
      <c r="W6" s="107">
        <v>23.2235551422086</v>
      </c>
      <c r="X6" s="193">
        <v>38.86</v>
      </c>
      <c r="Y6" s="193">
        <v>19.981999999999999</v>
      </c>
      <c r="Z6" s="193">
        <v>18.873999999999999</v>
      </c>
      <c r="AA6" s="193">
        <v>7388.79</v>
      </c>
      <c r="AB6" s="193" t="s">
        <v>38</v>
      </c>
      <c r="AC6" s="196" t="s">
        <v>38</v>
      </c>
      <c r="AD6" s="208" t="s">
        <v>38</v>
      </c>
      <c r="AE6" s="210" t="s">
        <v>38</v>
      </c>
      <c r="AG6" s="218">
        <f>(AA6-M6)/M6*100</f>
        <v>0.52068446341937769</v>
      </c>
      <c r="AH6" s="1" t="s">
        <v>38</v>
      </c>
      <c r="AI6" s="1" t="s">
        <v>38</v>
      </c>
    </row>
    <row r="7" spans="1:36" ht="23.25">
      <c r="A7" s="122" t="s">
        <v>44</v>
      </c>
      <c r="B7" s="114" t="s">
        <v>36</v>
      </c>
      <c r="C7" s="120"/>
      <c r="D7" s="120"/>
      <c r="E7" s="108" t="b">
        <v>0</v>
      </c>
      <c r="F7" s="87" t="s">
        <v>98</v>
      </c>
      <c r="G7" s="10">
        <v>2.7929207645462828</v>
      </c>
      <c r="H7" s="11">
        <v>27.837933644034909</v>
      </c>
      <c r="I7" s="13">
        <v>30.652657192829665</v>
      </c>
      <c r="J7" s="193">
        <v>19.93</v>
      </c>
      <c r="K7" s="193">
        <v>10.489000000000001</v>
      </c>
      <c r="L7" s="193">
        <v>9.4369999999999994</v>
      </c>
      <c r="M7" s="193">
        <v>1837.6289999999999</v>
      </c>
      <c r="N7" s="193">
        <v>3239.8809999999999</v>
      </c>
      <c r="O7" s="196">
        <f>$AG$2/N7</f>
        <v>0.11420172531028146</v>
      </c>
      <c r="P7" s="208">
        <f>M7/N7</f>
        <v>0.56719027643299247</v>
      </c>
      <c r="Q7" s="210">
        <f>N7/M7</f>
        <v>1.7630767690322693</v>
      </c>
      <c r="R7" s="6"/>
      <c r="S7" s="108" t="b">
        <v>0</v>
      </c>
      <c r="T7" s="87" t="s">
        <v>98</v>
      </c>
      <c r="U7" s="30">
        <v>2.8816362835793363</v>
      </c>
      <c r="V7" s="33">
        <v>28.702502876037716</v>
      </c>
      <c r="W7" s="107">
        <v>30.845961836990348</v>
      </c>
      <c r="X7" s="193">
        <v>9.76</v>
      </c>
      <c r="Y7" s="193">
        <v>5.04</v>
      </c>
      <c r="Z7" s="193">
        <v>4.718</v>
      </c>
      <c r="AA7" s="193">
        <v>1847.1969999999999</v>
      </c>
      <c r="AB7" s="193">
        <v>627.95699999999999</v>
      </c>
      <c r="AC7" s="196">
        <f>$AG$2/AB7</f>
        <v>0.58921231867787127</v>
      </c>
      <c r="AD7" s="208">
        <f>AA7/AB7</f>
        <v>2.9415979119589397</v>
      </c>
      <c r="AE7" s="210">
        <f>AB7/AA7</f>
        <v>0.33995128835744104</v>
      </c>
      <c r="AG7" s="218">
        <f t="shared" ref="AG7:AG21" si="0">(AA7-M7)/M7*100</f>
        <v>0.52067092976873919</v>
      </c>
      <c r="AH7" s="218">
        <f>(1-(AB7-N7)/N7)*100</f>
        <v>180.61789923765718</v>
      </c>
      <c r="AI7" s="218">
        <f>(AC7-O7)/O7*100</f>
        <v>415.93994493253524</v>
      </c>
    </row>
    <row r="8" spans="1:36" ht="23.25">
      <c r="A8" s="120"/>
      <c r="B8" s="114" t="s">
        <v>47</v>
      </c>
      <c r="C8" s="120"/>
      <c r="D8" s="120"/>
      <c r="E8" s="108" t="b">
        <v>0</v>
      </c>
      <c r="F8" s="87" t="s">
        <v>98</v>
      </c>
      <c r="G8" s="10">
        <v>3.2279323965171165</v>
      </c>
      <c r="H8" s="11">
        <v>45.123795739083384</v>
      </c>
      <c r="I8" s="13">
        <v>43.801000964515076</v>
      </c>
      <c r="J8" s="193">
        <v>9.73</v>
      </c>
      <c r="K8" s="193">
        <v>5.0090000000000003</v>
      </c>
      <c r="L8" s="193">
        <v>4.718</v>
      </c>
      <c r="M8" s="193">
        <v>459.40699999999998</v>
      </c>
      <c r="N8" s="193">
        <v>706.97299999999996</v>
      </c>
      <c r="O8" s="196">
        <f t="shared" ref="O8:O38" si="1">$AG$2/N8</f>
        <v>0.52335803488959265</v>
      </c>
      <c r="P8" s="208">
        <f t="shared" ref="P8:P9" si="2">M8/N8</f>
        <v>0.64982255333654892</v>
      </c>
      <c r="Q8" s="210">
        <f t="shared" ref="Q8:Q9" si="3">N8/M8</f>
        <v>1.5388816452513783</v>
      </c>
      <c r="R8" s="6"/>
      <c r="S8" s="108" t="b">
        <v>0</v>
      </c>
      <c r="T8" s="87" t="s">
        <v>98</v>
      </c>
      <c r="U8" s="30">
        <v>3.2487810360100768</v>
      </c>
      <c r="V8" s="33">
        <v>44.193844105267196</v>
      </c>
      <c r="W8" s="107">
        <v>40.284976628139631</v>
      </c>
      <c r="X8" s="193">
        <v>2.48</v>
      </c>
      <c r="Y8" s="193">
        <v>1.3049999999999999</v>
      </c>
      <c r="Z8" s="193">
        <v>1.179</v>
      </c>
      <c r="AA8" s="193">
        <v>461.79899999999998</v>
      </c>
      <c r="AB8" s="193">
        <v>133.15899999999999</v>
      </c>
      <c r="AC8" s="196">
        <f t="shared" ref="AC8:AC21" si="4">$AG$2/AB8</f>
        <v>2.778633062729519</v>
      </c>
      <c r="AD8" s="208">
        <f t="shared" ref="AD8:AD21" si="5">AA8/AB8</f>
        <v>3.4680269452308896</v>
      </c>
      <c r="AE8" s="210">
        <f t="shared" ref="AE8:AE21" si="6">AB8/AA8</f>
        <v>0.28834839399825463</v>
      </c>
      <c r="AG8" s="218">
        <f t="shared" si="0"/>
        <v>0.520671213107331</v>
      </c>
      <c r="AH8" s="218">
        <f t="shared" ref="AH8:AH21" si="7">(1-(AB8-N8)/N8)*100</f>
        <v>181.16491011679372</v>
      </c>
      <c r="AI8" s="218">
        <f t="shared" ref="AI8:AI21" si="8">(AC8-O8)/O8*100</f>
        <v>430.92393304245309</v>
      </c>
    </row>
    <row r="9" spans="1:36" ht="23.25">
      <c r="A9" s="120"/>
      <c r="B9" s="114" t="s">
        <v>48</v>
      </c>
      <c r="C9" s="120"/>
      <c r="D9" s="120"/>
      <c r="E9" s="108" t="b">
        <v>0</v>
      </c>
      <c r="F9" s="87" t="s">
        <v>98</v>
      </c>
      <c r="G9" s="10">
        <v>3.5046819369157234</v>
      </c>
      <c r="H9" s="11">
        <v>60.408825037207649</v>
      </c>
      <c r="I9" s="13">
        <v>57.225019798341471</v>
      </c>
      <c r="J9" s="193">
        <v>2.6</v>
      </c>
      <c r="K9" s="193">
        <v>1.421</v>
      </c>
      <c r="L9" s="193">
        <v>1.179</v>
      </c>
      <c r="M9" s="193">
        <v>114.851</v>
      </c>
      <c r="N9" s="193">
        <v>155.72</v>
      </c>
      <c r="O9" s="196">
        <f t="shared" si="1"/>
        <v>2.3760595941433342</v>
      </c>
      <c r="P9" s="208">
        <f t="shared" si="2"/>
        <v>0.7375481633701515</v>
      </c>
      <c r="Q9" s="210">
        <f t="shared" si="3"/>
        <v>1.3558436583051083</v>
      </c>
      <c r="R9" s="6"/>
      <c r="S9" s="108" t="b">
        <v>0</v>
      </c>
      <c r="T9" s="87" t="s">
        <v>99</v>
      </c>
      <c r="U9" s="30">
        <v>3.5204099287008996</v>
      </c>
      <c r="V9" s="33">
        <v>61.942718545206191</v>
      </c>
      <c r="W9" s="107">
        <v>55.653747288087963</v>
      </c>
      <c r="X9" s="193">
        <v>0.67</v>
      </c>
      <c r="Y9" s="193">
        <v>0.371</v>
      </c>
      <c r="Z9" s="193">
        <v>0.29399999999999998</v>
      </c>
      <c r="AA9" s="193">
        <v>115.449</v>
      </c>
      <c r="AB9" s="193">
        <v>9.0589999999999993</v>
      </c>
      <c r="AC9" s="196">
        <f t="shared" si="4"/>
        <v>40.843360194281935</v>
      </c>
      <c r="AD9" s="208">
        <f t="shared" si="5"/>
        <v>12.744121867755824</v>
      </c>
      <c r="AE9" s="210">
        <f t="shared" si="6"/>
        <v>7.8467548441303075E-2</v>
      </c>
      <c r="AG9" s="218">
        <f t="shared" si="0"/>
        <v>0.52067461319448582</v>
      </c>
      <c r="AH9" s="218">
        <f t="shared" si="7"/>
        <v>194.18250706396094</v>
      </c>
      <c r="AI9" s="218">
        <f t="shared" si="8"/>
        <v>1618.9535268793468</v>
      </c>
    </row>
    <row r="10" spans="1:36" ht="23.25">
      <c r="A10" s="122" t="s">
        <v>49</v>
      </c>
      <c r="B10" s="115" t="s">
        <v>39</v>
      </c>
      <c r="C10" s="125">
        <v>16</v>
      </c>
      <c r="D10" s="122">
        <v>8</v>
      </c>
      <c r="E10" s="108" t="b">
        <v>0</v>
      </c>
      <c r="F10" s="86" t="s">
        <v>38</v>
      </c>
      <c r="G10" s="10">
        <v>2.9056504003740868</v>
      </c>
      <c r="H10" s="11">
        <v>29.418245410606737</v>
      </c>
      <c r="I10" s="13">
        <v>25.451105543118647</v>
      </c>
      <c r="J10" s="193">
        <v>76.599999999999994</v>
      </c>
      <c r="K10" s="193">
        <v>38.853999999999999</v>
      </c>
      <c r="L10" s="193">
        <v>37.747999999999998</v>
      </c>
      <c r="M10" s="193">
        <v>1863.319</v>
      </c>
      <c r="N10" s="193" t="s">
        <v>38</v>
      </c>
      <c r="O10" s="196" t="s">
        <v>38</v>
      </c>
      <c r="P10" s="209" t="s">
        <v>38</v>
      </c>
      <c r="Q10" s="211" t="s">
        <v>38</v>
      </c>
      <c r="R10" s="6"/>
      <c r="S10" s="108" t="b">
        <v>0</v>
      </c>
      <c r="T10" s="86" t="s">
        <v>98</v>
      </c>
      <c r="U10" s="30">
        <v>2.913211528898024</v>
      </c>
      <c r="V10" s="33">
        <v>27.688457318170823</v>
      </c>
      <c r="W10" s="107">
        <v>25.402520584204385</v>
      </c>
      <c r="X10" s="193">
        <v>19.940000000000001</v>
      </c>
      <c r="Y10" s="193">
        <v>10.500999999999999</v>
      </c>
      <c r="Z10" s="193">
        <v>9.4369999999999994</v>
      </c>
      <c r="AA10" s="193">
        <v>1882.7180000000001</v>
      </c>
      <c r="AB10" s="193">
        <v>1736.72</v>
      </c>
      <c r="AC10" s="196">
        <f t="shared" si="4"/>
        <v>0.21304528075913215</v>
      </c>
      <c r="AD10" s="208">
        <f t="shared" si="5"/>
        <v>1.0840653645953291</v>
      </c>
      <c r="AE10" s="210">
        <f t="shared" si="6"/>
        <v>0.92245360165462909</v>
      </c>
      <c r="AG10" s="218">
        <f t="shared" si="0"/>
        <v>1.0410992428027683</v>
      </c>
      <c r="AH10" s="218" t="s">
        <v>38</v>
      </c>
      <c r="AI10" s="218" t="s">
        <v>38</v>
      </c>
    </row>
    <row r="11" spans="1:36" ht="23.25">
      <c r="A11" s="120"/>
      <c r="B11" s="114" t="s">
        <v>36</v>
      </c>
      <c r="C11" s="126"/>
      <c r="D11" s="120"/>
      <c r="E11" s="108" t="b">
        <v>0</v>
      </c>
      <c r="F11" s="87" t="s">
        <v>98</v>
      </c>
      <c r="G11" s="10">
        <v>3.0932460694996031</v>
      </c>
      <c r="H11" s="11">
        <v>36.999653564047492</v>
      </c>
      <c r="I11" s="13">
        <v>32.854379229293009</v>
      </c>
      <c r="J11" s="193">
        <v>19.190000000000001</v>
      </c>
      <c r="K11" s="193">
        <v>9.7560000000000002</v>
      </c>
      <c r="L11" s="193">
        <v>9.4369999999999994</v>
      </c>
      <c r="M11" s="193">
        <v>465.82900000000001</v>
      </c>
      <c r="N11" s="193">
        <v>1207.42</v>
      </c>
      <c r="O11" s="196">
        <f t="shared" si="1"/>
        <v>0.30643852180682779</v>
      </c>
      <c r="P11" s="208">
        <f t="shared" ref="P11:P21" si="9">M11/N11</f>
        <v>0.38580527074257503</v>
      </c>
      <c r="Q11" s="210">
        <f t="shared" ref="Q11:Q21" si="10">N11/M11</f>
        <v>2.5919811776424395</v>
      </c>
      <c r="R11" s="7"/>
      <c r="S11" s="108" t="b">
        <v>0</v>
      </c>
      <c r="T11" s="87" t="s">
        <v>98</v>
      </c>
      <c r="U11" s="30">
        <v>3.0665953174425553</v>
      </c>
      <c r="V11" s="33">
        <v>34.793081838633675</v>
      </c>
      <c r="W11" s="107">
        <v>30.441823191405849</v>
      </c>
      <c r="X11" s="193">
        <v>5</v>
      </c>
      <c r="Y11" s="193">
        <v>2.637</v>
      </c>
      <c r="Z11" s="193">
        <v>2.359</v>
      </c>
      <c r="AA11" s="193">
        <v>470.67899999999997</v>
      </c>
      <c r="AB11" s="193">
        <v>289.99299999999999</v>
      </c>
      <c r="AC11" s="196">
        <f t="shared" si="4"/>
        <v>1.2758928663795333</v>
      </c>
      <c r="AD11" s="208">
        <f t="shared" si="5"/>
        <v>1.623070212039601</v>
      </c>
      <c r="AE11" s="210">
        <f t="shared" si="6"/>
        <v>0.61611629157026337</v>
      </c>
      <c r="AG11" s="218">
        <f t="shared" si="0"/>
        <v>1.0411545867689573</v>
      </c>
      <c r="AH11" s="218">
        <f t="shared" si="7"/>
        <v>175.98242533666829</v>
      </c>
      <c r="AI11" s="218">
        <f t="shared" si="8"/>
        <v>316.36177424972323</v>
      </c>
    </row>
    <row r="12" spans="1:36" ht="23.25">
      <c r="A12" s="120"/>
      <c r="B12" s="114" t="s">
        <v>47</v>
      </c>
      <c r="C12" s="126"/>
      <c r="D12" s="120"/>
      <c r="E12" s="108" t="b">
        <v>0</v>
      </c>
      <c r="F12" s="87" t="s">
        <v>98</v>
      </c>
      <c r="G12" s="10">
        <v>3.5386004592995217</v>
      </c>
      <c r="H12" s="11">
        <v>55.234656273948836</v>
      </c>
      <c r="I12" s="13">
        <v>53.235131362080594</v>
      </c>
      <c r="J12" s="193">
        <v>4.84</v>
      </c>
      <c r="K12" s="193">
        <v>2.4820000000000002</v>
      </c>
      <c r="L12" s="193">
        <v>2.359</v>
      </c>
      <c r="M12" s="193">
        <v>116.45699999999999</v>
      </c>
      <c r="N12" s="193">
        <v>224.31800000000001</v>
      </c>
      <c r="O12" s="196">
        <f t="shared" si="1"/>
        <v>1.6494440927611693</v>
      </c>
      <c r="P12" s="208">
        <f t="shared" si="9"/>
        <v>0.51916029921807427</v>
      </c>
      <c r="Q12" s="210">
        <f t="shared" si="10"/>
        <v>1.9261873481199072</v>
      </c>
      <c r="R12" s="7"/>
      <c r="S12" s="108" t="b">
        <v>0</v>
      </c>
      <c r="T12" s="87" t="s">
        <v>99</v>
      </c>
      <c r="U12" s="30">
        <v>3.5523978515717483</v>
      </c>
      <c r="V12" s="33">
        <v>54.105746532979566</v>
      </c>
      <c r="W12" s="107">
        <v>52.881273057526137</v>
      </c>
      <c r="X12" s="193">
        <v>1.26</v>
      </c>
      <c r="Y12" s="193">
        <v>0.67100000000000004</v>
      </c>
      <c r="Z12" s="193">
        <v>0.58899999999999997</v>
      </c>
      <c r="AA12" s="193">
        <v>117.669</v>
      </c>
      <c r="AB12" s="193">
        <v>20.617000000000001</v>
      </c>
      <c r="AC12" s="196">
        <f t="shared" si="4"/>
        <v>17.94635494979871</v>
      </c>
      <c r="AD12" s="208">
        <f t="shared" si="5"/>
        <v>5.7073774069942278</v>
      </c>
      <c r="AE12" s="210">
        <f t="shared" si="6"/>
        <v>0.17521182299501145</v>
      </c>
      <c r="AG12" s="218">
        <f t="shared" si="0"/>
        <v>1.0407274788119247</v>
      </c>
      <c r="AH12" s="218">
        <f t="shared" si="7"/>
        <v>190.80903003771431</v>
      </c>
      <c r="AI12" s="218">
        <f t="shared" si="8"/>
        <v>988.02444584566138</v>
      </c>
    </row>
    <row r="13" spans="1:36" ht="23.25">
      <c r="A13" s="120"/>
      <c r="B13" s="114" t="s">
        <v>48</v>
      </c>
      <c r="C13" s="126"/>
      <c r="D13" s="120"/>
      <c r="E13" s="108" t="b">
        <v>1</v>
      </c>
      <c r="F13" s="87" t="s">
        <v>99</v>
      </c>
      <c r="G13" s="10">
        <v>3.7513055414522856</v>
      </c>
      <c r="H13" s="11">
        <v>69.589526149379651</v>
      </c>
      <c r="I13" s="13">
        <v>70.403781254792847</v>
      </c>
      <c r="J13" s="193">
        <v>1.25</v>
      </c>
      <c r="K13" s="193">
        <v>0.66300000000000003</v>
      </c>
      <c r="L13" s="193">
        <v>0.58899999999999997</v>
      </c>
      <c r="M13" s="193">
        <v>29.114000000000001</v>
      </c>
      <c r="N13" s="193">
        <v>28.492000000000001</v>
      </c>
      <c r="O13" s="196">
        <f t="shared" si="1"/>
        <v>12.986101361785764</v>
      </c>
      <c r="P13" s="208">
        <f t="shared" si="9"/>
        <v>1.0218306893162994</v>
      </c>
      <c r="Q13" s="210">
        <f t="shared" si="10"/>
        <v>0.97863570790684895</v>
      </c>
      <c r="R13" s="7"/>
      <c r="S13" s="108" t="b">
        <v>0</v>
      </c>
      <c r="T13" s="87" t="s">
        <v>99</v>
      </c>
      <c r="U13" s="30">
        <v>3.6919361985651955</v>
      </c>
      <c r="V13" s="33">
        <v>65.493886751960176</v>
      </c>
      <c r="W13" s="107">
        <v>58.825159426327858</v>
      </c>
      <c r="X13" s="193">
        <v>0.33</v>
      </c>
      <c r="Y13" s="193">
        <v>0.18</v>
      </c>
      <c r="Z13" s="193">
        <v>0.14699999999999999</v>
      </c>
      <c r="AA13" s="193">
        <v>29.417000000000002</v>
      </c>
      <c r="AB13" s="193">
        <v>4.5030000000000001</v>
      </c>
      <c r="AC13" s="196">
        <f t="shared" si="4"/>
        <v>82.167443926271375</v>
      </c>
      <c r="AD13" s="208">
        <f t="shared" si="5"/>
        <v>6.5327559404841216</v>
      </c>
      <c r="AE13" s="210">
        <f t="shared" si="6"/>
        <v>0.15307475269402046</v>
      </c>
      <c r="AG13" s="218">
        <f t="shared" si="0"/>
        <v>1.0407364154702232</v>
      </c>
      <c r="AH13" s="218">
        <f t="shared" si="7"/>
        <v>184.19556366699425</v>
      </c>
      <c r="AI13" s="218">
        <f t="shared" si="8"/>
        <v>532.73373306684448</v>
      </c>
    </row>
    <row r="14" spans="1:36" ht="23.25">
      <c r="A14" s="122" t="s">
        <v>53</v>
      </c>
      <c r="B14" s="115" t="s">
        <v>39</v>
      </c>
      <c r="C14" s="125">
        <v>8</v>
      </c>
      <c r="D14" s="122">
        <v>8</v>
      </c>
      <c r="E14" s="108" t="b">
        <v>0</v>
      </c>
      <c r="F14" s="86" t="s">
        <v>98</v>
      </c>
      <c r="G14" s="10">
        <v>3.2064271207566772</v>
      </c>
      <c r="H14" s="11">
        <v>41.495118369385999</v>
      </c>
      <c r="I14" s="13">
        <v>36.201156130170268</v>
      </c>
      <c r="J14" s="193">
        <v>38.81</v>
      </c>
      <c r="K14" s="193">
        <v>19.937000000000001</v>
      </c>
      <c r="L14" s="193">
        <v>18.873999999999999</v>
      </c>
      <c r="M14" s="193">
        <v>478.67399999999998</v>
      </c>
      <c r="N14" s="193">
        <v>983.56700000000001</v>
      </c>
      <c r="O14" s="196">
        <f t="shared" si="1"/>
        <v>0.37618179544454011</v>
      </c>
      <c r="P14" s="208">
        <f t="shared" si="9"/>
        <v>0.48667147230437779</v>
      </c>
      <c r="Q14" s="210">
        <f t="shared" si="10"/>
        <v>2.0547742304783632</v>
      </c>
      <c r="R14" s="7"/>
      <c r="S14" s="108" t="b">
        <v>0</v>
      </c>
      <c r="T14" s="86" t="s">
        <v>98</v>
      </c>
      <c r="U14" s="30">
        <v>3.2552639056969621</v>
      </c>
      <c r="V14" s="33">
        <v>44.762601618421641</v>
      </c>
      <c r="W14" s="107">
        <v>37.006606447578086</v>
      </c>
      <c r="X14" s="193">
        <v>10.49</v>
      </c>
      <c r="Y14" s="193">
        <v>5.7709999999999999</v>
      </c>
      <c r="Z14" s="193">
        <v>4.718</v>
      </c>
      <c r="AA14" s="193">
        <v>488.63600000000002</v>
      </c>
      <c r="AB14" s="193">
        <v>338.61099999999999</v>
      </c>
      <c r="AC14" s="196">
        <f t="shared" si="4"/>
        <v>1.0926992921080532</v>
      </c>
      <c r="AD14" s="208">
        <f t="shared" si="5"/>
        <v>1.4430600305365155</v>
      </c>
      <c r="AE14" s="210">
        <f t="shared" si="6"/>
        <v>0.6929718645372015</v>
      </c>
      <c r="AG14" s="218">
        <f t="shared" si="0"/>
        <v>2.0811658874307035</v>
      </c>
      <c r="AH14" s="218">
        <f t="shared" si="7"/>
        <v>165.57316380073752</v>
      </c>
      <c r="AI14" s="218">
        <f t="shared" si="8"/>
        <v>190.47107152455177</v>
      </c>
    </row>
    <row r="15" spans="1:36" ht="23.25">
      <c r="A15" s="120"/>
      <c r="B15" s="114" t="s">
        <v>36</v>
      </c>
      <c r="C15" s="126"/>
      <c r="D15" s="120"/>
      <c r="E15" s="108" t="b">
        <v>0</v>
      </c>
      <c r="F15" s="87" t="s">
        <v>98</v>
      </c>
      <c r="G15" s="10">
        <v>3.4135723117664076</v>
      </c>
      <c r="H15" s="11">
        <v>54.715557025997811</v>
      </c>
      <c r="I15" s="13">
        <v>52.288420377255278</v>
      </c>
      <c r="J15" s="193">
        <v>9.7100000000000009</v>
      </c>
      <c r="K15" s="193">
        <v>4.9950000000000001</v>
      </c>
      <c r="L15" s="193">
        <v>4.718</v>
      </c>
      <c r="M15" s="193">
        <v>119.66800000000001</v>
      </c>
      <c r="N15" s="193">
        <v>223.393</v>
      </c>
      <c r="O15" s="196">
        <f t="shared" si="1"/>
        <v>1.6562739208480122</v>
      </c>
      <c r="P15" s="208">
        <f t="shared" si="9"/>
        <v>0.5356837501622701</v>
      </c>
      <c r="Q15" s="210">
        <f t="shared" si="10"/>
        <v>1.8667730721663267</v>
      </c>
      <c r="R15" s="7"/>
      <c r="S15" s="108" t="b">
        <v>0</v>
      </c>
      <c r="T15" s="87" t="s">
        <v>98</v>
      </c>
      <c r="U15" s="30">
        <v>3.432995385993149</v>
      </c>
      <c r="V15" s="33">
        <v>55.834258357641168</v>
      </c>
      <c r="W15" s="107">
        <v>52.364184735097147</v>
      </c>
      <c r="X15" s="193">
        <v>2.63</v>
      </c>
      <c r="Y15" s="193">
        <v>1.446</v>
      </c>
      <c r="Z15" s="193">
        <v>1.179</v>
      </c>
      <c r="AA15" s="193">
        <v>122.15900000000001</v>
      </c>
      <c r="AB15" s="193">
        <v>73.162999999999997</v>
      </c>
      <c r="AC15" s="196">
        <f t="shared" si="4"/>
        <v>5.0572010442436754</v>
      </c>
      <c r="AD15" s="208">
        <f t="shared" si="5"/>
        <v>1.6696827631453059</v>
      </c>
      <c r="AE15" s="210">
        <f t="shared" si="6"/>
        <v>0.5989161666352868</v>
      </c>
      <c r="AG15" s="218">
        <f t="shared" si="0"/>
        <v>2.0815924056556465</v>
      </c>
      <c r="AH15" s="218">
        <f t="shared" si="7"/>
        <v>167.24919760243159</v>
      </c>
      <c r="AI15" s="218">
        <f t="shared" si="8"/>
        <v>205.33603050722365</v>
      </c>
    </row>
    <row r="16" spans="1:36" ht="23.25">
      <c r="A16" s="120"/>
      <c r="B16" s="114" t="s">
        <v>47</v>
      </c>
      <c r="C16" s="126"/>
      <c r="D16" s="120"/>
      <c r="E16" s="108" t="b">
        <v>0</v>
      </c>
      <c r="F16" s="87" t="s">
        <v>98</v>
      </c>
      <c r="G16" s="10">
        <v>3.6167362266903416</v>
      </c>
      <c r="H16" s="11">
        <v>67.269323270522932</v>
      </c>
      <c r="I16" s="13">
        <v>65.77409283596478</v>
      </c>
      <c r="J16" s="193">
        <v>2.44</v>
      </c>
      <c r="K16" s="193">
        <v>1.26</v>
      </c>
      <c r="L16" s="193">
        <v>1.179</v>
      </c>
      <c r="M16" s="193">
        <v>29.917000000000002</v>
      </c>
      <c r="N16" s="193">
        <v>49.476999999999997</v>
      </c>
      <c r="O16" s="196">
        <f t="shared" si="1"/>
        <v>7.4782222042565234</v>
      </c>
      <c r="P16" s="208">
        <f t="shared" si="9"/>
        <v>0.60466479374254711</v>
      </c>
      <c r="Q16" s="210">
        <f t="shared" si="10"/>
        <v>1.6538088712103485</v>
      </c>
      <c r="R16" s="7"/>
      <c r="S16" s="108" t="b">
        <v>0</v>
      </c>
      <c r="T16" s="87" t="s">
        <v>99</v>
      </c>
      <c r="U16" s="30">
        <v>3.6028933748155807</v>
      </c>
      <c r="V16" s="33">
        <v>67.008863365672838</v>
      </c>
      <c r="W16" s="107">
        <v>62.743030863586192</v>
      </c>
      <c r="X16" s="193">
        <v>0.66</v>
      </c>
      <c r="Y16" s="193">
        <v>0.36499999999999999</v>
      </c>
      <c r="Z16" s="193">
        <v>0.29399999999999998</v>
      </c>
      <c r="AA16" s="193">
        <v>30.539000000000001</v>
      </c>
      <c r="AB16" s="193">
        <v>12.047000000000001</v>
      </c>
      <c r="AC16" s="196">
        <f t="shared" si="4"/>
        <v>30.713040591018508</v>
      </c>
      <c r="AD16" s="208">
        <f t="shared" si="5"/>
        <v>2.5349879638084172</v>
      </c>
      <c r="AE16" s="210">
        <f t="shared" si="6"/>
        <v>0.39447919054323977</v>
      </c>
      <c r="AG16" s="218">
        <f t="shared" si="0"/>
        <v>2.0790854697997787</v>
      </c>
      <c r="AH16" s="218">
        <f t="shared" si="7"/>
        <v>175.65131273116802</v>
      </c>
      <c r="AI16" s="218">
        <f t="shared" si="8"/>
        <v>310.69975927616832</v>
      </c>
    </row>
    <row r="17" spans="1:35" ht="23.25">
      <c r="A17" s="120"/>
      <c r="B17" s="114" t="s">
        <v>48</v>
      </c>
      <c r="C17" s="126"/>
      <c r="D17" s="120"/>
      <c r="E17" s="108" t="b">
        <v>1</v>
      </c>
      <c r="F17" s="87" t="s">
        <v>99</v>
      </c>
      <c r="G17" s="10">
        <v>3.7753520610074656</v>
      </c>
      <c r="H17" s="11">
        <v>79.354195810764622</v>
      </c>
      <c r="I17" s="13">
        <v>84.035317308986777</v>
      </c>
      <c r="J17" s="193">
        <v>0.62</v>
      </c>
      <c r="K17" s="193">
        <v>0.32600000000000001</v>
      </c>
      <c r="L17" s="193">
        <v>0.29399999999999998</v>
      </c>
      <c r="M17" s="193">
        <v>7.4790000000000001</v>
      </c>
      <c r="N17" s="193">
        <v>8.4830000000000005</v>
      </c>
      <c r="O17" s="196">
        <f t="shared" si="1"/>
        <v>43.616645054815514</v>
      </c>
      <c r="P17" s="208">
        <f t="shared" si="9"/>
        <v>0.88164564422963565</v>
      </c>
      <c r="Q17" s="210">
        <f t="shared" si="10"/>
        <v>1.1342425457948924</v>
      </c>
      <c r="R17" s="7"/>
      <c r="S17" s="108" t="b">
        <v>0</v>
      </c>
      <c r="T17" s="87" t="s">
        <v>99</v>
      </c>
      <c r="U17" s="30">
        <v>3.7230526314078807</v>
      </c>
      <c r="V17" s="33">
        <v>76.757813445182123</v>
      </c>
      <c r="W17" s="107">
        <v>77.637999159851489</v>
      </c>
      <c r="X17" s="193">
        <v>0.17</v>
      </c>
      <c r="Y17" s="193">
        <v>9.4E-2</v>
      </c>
      <c r="Z17" s="193">
        <v>7.2999999999999995E-2</v>
      </c>
      <c r="AA17" s="193">
        <v>7.6340000000000003</v>
      </c>
      <c r="AB17" s="193">
        <v>3.0859999999999999</v>
      </c>
      <c r="AC17" s="196">
        <f t="shared" si="4"/>
        <v>119.89630589760208</v>
      </c>
      <c r="AD17" s="208">
        <f t="shared" si="5"/>
        <v>2.4737524303305252</v>
      </c>
      <c r="AE17" s="210">
        <f t="shared" si="6"/>
        <v>0.40424417081477598</v>
      </c>
      <c r="AG17" s="218">
        <f t="shared" si="0"/>
        <v>2.0724695814948553</v>
      </c>
      <c r="AH17" s="218">
        <f t="shared" si="7"/>
        <v>163.62136036779441</v>
      </c>
      <c r="AI17" s="218">
        <f t="shared" si="8"/>
        <v>174.88658457550227</v>
      </c>
    </row>
    <row r="18" spans="1:35" ht="23.25">
      <c r="A18" s="122" t="s">
        <v>57</v>
      </c>
      <c r="B18" s="113" t="s">
        <v>39</v>
      </c>
      <c r="C18" s="125">
        <v>4</v>
      </c>
      <c r="D18" s="122">
        <v>8</v>
      </c>
      <c r="E18" s="108" t="b">
        <v>0</v>
      </c>
      <c r="F18" s="86" t="s">
        <v>98</v>
      </c>
      <c r="G18" s="10">
        <v>3.4391545910273273</v>
      </c>
      <c r="H18" s="11">
        <v>59.994665819471805</v>
      </c>
      <c r="I18" s="13">
        <v>47.873106194447409</v>
      </c>
      <c r="J18" s="193">
        <v>19.93</v>
      </c>
      <c r="K18" s="193">
        <v>10.489000000000001</v>
      </c>
      <c r="L18" s="193">
        <v>9.4369999999999994</v>
      </c>
      <c r="M18" s="193">
        <v>126.09099999999999</v>
      </c>
      <c r="N18" s="193">
        <v>1821.5709999999999</v>
      </c>
      <c r="O18" s="196">
        <f t="shared" si="1"/>
        <v>0.20312137160725552</v>
      </c>
      <c r="P18" s="208">
        <f t="shared" si="9"/>
        <v>6.9221018560352579E-2</v>
      </c>
      <c r="Q18" s="210">
        <f t="shared" si="10"/>
        <v>14.446479130152033</v>
      </c>
      <c r="R18" s="7"/>
      <c r="S18" s="108" t="b">
        <v>0</v>
      </c>
      <c r="T18" s="86" t="s">
        <v>98</v>
      </c>
      <c r="U18" s="30">
        <v>3.4988682912946487</v>
      </c>
      <c r="V18" s="33">
        <v>63.288024665708676</v>
      </c>
      <c r="W18" s="107">
        <v>47.425627517225003</v>
      </c>
      <c r="X18" s="193">
        <v>5.77</v>
      </c>
      <c r="Y18" s="193">
        <v>3.4089999999999998</v>
      </c>
      <c r="Z18" s="193">
        <v>2.359</v>
      </c>
      <c r="AA18" s="193">
        <v>131.334</v>
      </c>
      <c r="AB18" s="193">
        <v>412.64100000000002</v>
      </c>
      <c r="AC18" s="196">
        <f t="shared" si="4"/>
        <v>0.89666320118456477</v>
      </c>
      <c r="AD18" s="208">
        <f t="shared" si="5"/>
        <v>0.31827666179560443</v>
      </c>
      <c r="AE18" s="210">
        <f t="shared" si="6"/>
        <v>3.1419205993878205</v>
      </c>
      <c r="AG18" s="218">
        <f t="shared" si="0"/>
        <v>4.1581080330872222</v>
      </c>
      <c r="AH18" s="218">
        <f t="shared" si="7"/>
        <v>177.34697137800285</v>
      </c>
      <c r="AI18" s="218">
        <f t="shared" si="8"/>
        <v>341.44207676891045</v>
      </c>
    </row>
    <row r="19" spans="1:35" ht="23.25">
      <c r="A19" s="120"/>
      <c r="B19" s="116" t="s">
        <v>36</v>
      </c>
      <c r="C19" s="126"/>
      <c r="D19" s="120"/>
      <c r="E19" s="108" t="b">
        <v>0</v>
      </c>
      <c r="F19" s="87" t="s">
        <v>98</v>
      </c>
      <c r="G19" s="10">
        <v>3.4894077717412628</v>
      </c>
      <c r="H19" s="11">
        <v>62.277539393773644</v>
      </c>
      <c r="I19" s="13">
        <v>53.817627114007244</v>
      </c>
      <c r="J19" s="193">
        <v>4.9800000000000004</v>
      </c>
      <c r="K19" s="193">
        <v>2.625</v>
      </c>
      <c r="L19" s="193">
        <v>2.359</v>
      </c>
      <c r="M19" s="193">
        <v>31.521999999999998</v>
      </c>
      <c r="N19" s="193">
        <v>410.26499999999999</v>
      </c>
      <c r="O19" s="196">
        <f t="shared" si="1"/>
        <v>0.90185611738754223</v>
      </c>
      <c r="P19" s="208">
        <f t="shared" si="9"/>
        <v>7.6833266303486775E-2</v>
      </c>
      <c r="Q19" s="210">
        <f t="shared" si="10"/>
        <v>13.015195736311147</v>
      </c>
      <c r="R19" s="7"/>
      <c r="S19" s="108" t="b">
        <v>0</v>
      </c>
      <c r="T19" s="87" t="s">
        <v>99</v>
      </c>
      <c r="U19" s="30">
        <v>3.5374343088560423</v>
      </c>
      <c r="V19" s="33">
        <v>65.03700254281236</v>
      </c>
      <c r="W19" s="107">
        <v>50.101242874421324</v>
      </c>
      <c r="X19" s="193">
        <v>1.44</v>
      </c>
      <c r="Y19" s="193">
        <v>0.85299999999999998</v>
      </c>
      <c r="Z19" s="193">
        <v>0.58899999999999997</v>
      </c>
      <c r="AA19" s="193">
        <v>32.832999999999998</v>
      </c>
      <c r="AB19" s="193">
        <v>44.853999999999999</v>
      </c>
      <c r="AC19" s="196">
        <f t="shared" si="4"/>
        <v>8.2489855977170379</v>
      </c>
      <c r="AD19" s="208">
        <f t="shared" si="5"/>
        <v>0.73199714629687429</v>
      </c>
      <c r="AE19" s="210">
        <f t="shared" si="6"/>
        <v>1.3661255444217708</v>
      </c>
      <c r="AG19" s="218">
        <f t="shared" si="0"/>
        <v>4.1590000634477509</v>
      </c>
      <c r="AH19" s="218">
        <f t="shared" si="7"/>
        <v>189.06706640829708</v>
      </c>
      <c r="AI19" s="218">
        <f t="shared" si="8"/>
        <v>814.66758817496782</v>
      </c>
    </row>
    <row r="20" spans="1:35" ht="23.25">
      <c r="A20" s="120"/>
      <c r="B20" s="116" t="s">
        <v>47</v>
      </c>
      <c r="C20" s="126"/>
      <c r="D20" s="120"/>
      <c r="E20" s="108" t="b">
        <v>1</v>
      </c>
      <c r="F20" s="87" t="s">
        <v>99</v>
      </c>
      <c r="G20" s="10">
        <v>3.6477327043285674</v>
      </c>
      <c r="H20" s="11">
        <v>72.011888587755053</v>
      </c>
      <c r="I20" s="13">
        <v>63.9797139980341</v>
      </c>
      <c r="J20" s="193">
        <v>1.25</v>
      </c>
      <c r="K20" s="193">
        <v>0.65900000000000003</v>
      </c>
      <c r="L20" s="193">
        <v>0.58899999999999997</v>
      </c>
      <c r="M20" s="193">
        <v>7.88</v>
      </c>
      <c r="N20" s="193">
        <v>38.331000000000003</v>
      </c>
      <c r="O20" s="196">
        <f t="shared" si="1"/>
        <v>9.6527614724374526</v>
      </c>
      <c r="P20" s="208">
        <f t="shared" si="9"/>
        <v>0.20557773081839761</v>
      </c>
      <c r="Q20" s="210">
        <f t="shared" si="10"/>
        <v>4.8643401015228429</v>
      </c>
      <c r="R20" s="7"/>
      <c r="S20" s="108" t="b">
        <v>0</v>
      </c>
      <c r="T20" s="87" t="s">
        <v>99</v>
      </c>
      <c r="U20" s="30">
        <v>3.7081166330511541</v>
      </c>
      <c r="V20" s="33">
        <v>75.974141110327764</v>
      </c>
      <c r="W20" s="107">
        <v>60.726128610915161</v>
      </c>
      <c r="X20" s="193">
        <v>0.36</v>
      </c>
      <c r="Y20" s="193">
        <v>0.214</v>
      </c>
      <c r="Z20" s="193">
        <v>0.14699999999999999</v>
      </c>
      <c r="AA20" s="193">
        <v>8.2080000000000002</v>
      </c>
      <c r="AB20" s="193">
        <v>10.14</v>
      </c>
      <c r="AC20" s="196">
        <f t="shared" si="4"/>
        <v>36.489151873767256</v>
      </c>
      <c r="AD20" s="208">
        <f t="shared" si="5"/>
        <v>0.80946745562130173</v>
      </c>
      <c r="AE20" s="210">
        <f t="shared" si="6"/>
        <v>1.2353801169590644</v>
      </c>
      <c r="AG20" s="218">
        <f t="shared" si="0"/>
        <v>4.1624365482233543</v>
      </c>
      <c r="AH20" s="218">
        <f t="shared" si="7"/>
        <v>173.54621585661735</v>
      </c>
      <c r="AI20" s="218">
        <f t="shared" si="8"/>
        <v>278.01775147928993</v>
      </c>
    </row>
    <row r="21" spans="1:35" ht="23.25">
      <c r="A21" s="189"/>
      <c r="B21" s="101" t="s">
        <v>48</v>
      </c>
      <c r="C21" s="188"/>
      <c r="D21" s="189"/>
      <c r="E21" s="108" t="b">
        <v>1</v>
      </c>
      <c r="F21" s="87" t="s">
        <v>99</v>
      </c>
      <c r="G21" s="10">
        <v>3.7928976521753688</v>
      </c>
      <c r="H21" s="11">
        <v>83.711619327105581</v>
      </c>
      <c r="I21" s="13">
        <v>78.241467244051933</v>
      </c>
      <c r="J21" s="193">
        <v>0.32</v>
      </c>
      <c r="K21" s="193">
        <v>0.16700000000000001</v>
      </c>
      <c r="L21" s="193">
        <v>0.14699999999999999</v>
      </c>
      <c r="M21" s="193">
        <v>1.97</v>
      </c>
      <c r="N21" s="193">
        <v>5.2779999999999996</v>
      </c>
      <c r="O21" s="196">
        <f t="shared" si="1"/>
        <v>70.102311481621825</v>
      </c>
      <c r="P21" s="208">
        <f t="shared" si="9"/>
        <v>0.37324744221295947</v>
      </c>
      <c r="Q21" s="210">
        <f t="shared" si="10"/>
        <v>2.679187817258883</v>
      </c>
      <c r="R21" s="7"/>
      <c r="S21" s="108" t="b">
        <v>0</v>
      </c>
      <c r="T21" s="87" t="s">
        <v>99</v>
      </c>
      <c r="U21" s="30">
        <v>3.8103082543865803</v>
      </c>
      <c r="V21" s="33">
        <v>83.019891639030845</v>
      </c>
      <c r="W21" s="107">
        <v>71.128942709890097</v>
      </c>
      <c r="X21" s="193">
        <v>0.09</v>
      </c>
      <c r="Y21" s="193">
        <v>5.3999999999999999E-2</v>
      </c>
      <c r="Z21" s="193">
        <v>3.5999999999999997E-2</v>
      </c>
      <c r="AA21" s="193">
        <v>2.052</v>
      </c>
      <c r="AB21" s="193">
        <v>2.5939999999999999</v>
      </c>
      <c r="AC21" s="196">
        <f t="shared" si="4"/>
        <v>142.63685427910565</v>
      </c>
      <c r="AD21" s="208">
        <f t="shared" si="5"/>
        <v>0.79105628373168857</v>
      </c>
      <c r="AE21" s="210">
        <f t="shared" si="6"/>
        <v>1.2641325536062378</v>
      </c>
      <c r="AG21" s="218">
        <f t="shared" si="0"/>
        <v>4.1624365482233543</v>
      </c>
      <c r="AH21" s="218">
        <f t="shared" si="7"/>
        <v>150.85259568018188</v>
      </c>
      <c r="AI21" s="218">
        <f t="shared" si="8"/>
        <v>103.46954510408639</v>
      </c>
    </row>
    <row r="22" spans="1:35" ht="23.25">
      <c r="A22" s="7"/>
      <c r="B22" s="7"/>
      <c r="C22" s="7"/>
      <c r="D22" s="7"/>
      <c r="E22" s="7"/>
      <c r="F22" s="7"/>
      <c r="G22" s="14"/>
      <c r="H22" s="14"/>
      <c r="I22" s="14"/>
      <c r="J22" s="194"/>
      <c r="K22" s="194"/>
      <c r="L22" s="194"/>
      <c r="M22" s="194"/>
      <c r="N22" s="194"/>
      <c r="O22" s="194"/>
      <c r="P22" s="105"/>
      <c r="Q22" s="105"/>
      <c r="R22" s="6"/>
      <c r="S22" s="7"/>
      <c r="T22" s="7"/>
      <c r="U22" s="14"/>
      <c r="V22" s="14"/>
      <c r="W22" s="14"/>
      <c r="X22" s="195"/>
      <c r="Y22" s="195"/>
      <c r="Z22" s="195"/>
      <c r="AA22" s="195"/>
      <c r="AB22" s="195"/>
      <c r="AC22" s="195"/>
    </row>
    <row r="23" spans="1:35" ht="23.25">
      <c r="A23" s="122" t="s">
        <v>60</v>
      </c>
      <c r="B23" s="115" t="s">
        <v>39</v>
      </c>
      <c r="C23" s="122">
        <v>32</v>
      </c>
      <c r="D23" s="125">
        <v>6</v>
      </c>
      <c r="E23" s="108" t="b">
        <v>0</v>
      </c>
      <c r="F23" s="86" t="s">
        <v>38</v>
      </c>
      <c r="G23" s="10">
        <v>2.8587332432963639</v>
      </c>
      <c r="H23" s="11">
        <v>28.763780000344088</v>
      </c>
      <c r="I23" s="13">
        <v>28.494997258065542</v>
      </c>
      <c r="J23" s="193">
        <v>118.64</v>
      </c>
      <c r="K23" s="193">
        <v>59.92</v>
      </c>
      <c r="L23" s="193">
        <v>58.72</v>
      </c>
      <c r="M23" s="193">
        <v>4930.4040000000005</v>
      </c>
      <c r="N23" s="193" t="s">
        <v>38</v>
      </c>
      <c r="O23" s="196" t="s">
        <v>38</v>
      </c>
      <c r="P23" s="208" t="s">
        <v>38</v>
      </c>
      <c r="Q23" s="210" t="s">
        <v>38</v>
      </c>
      <c r="R23" s="7"/>
      <c r="S23" s="108" t="b">
        <v>0</v>
      </c>
      <c r="T23" s="86" t="s">
        <v>38</v>
      </c>
      <c r="U23" s="30">
        <v>2.8997155879289758</v>
      </c>
      <c r="V23" s="33">
        <v>31.652459091529327</v>
      </c>
      <c r="W23" s="107">
        <v>25.890280271396502</v>
      </c>
      <c r="X23" s="193">
        <v>32.549999999999997</v>
      </c>
      <c r="Y23" s="193">
        <v>15.769</v>
      </c>
      <c r="Z23" s="193">
        <v>16.777000000000001</v>
      </c>
      <c r="AA23" s="193">
        <v>4960.2879999999996</v>
      </c>
      <c r="AB23" s="193" t="s">
        <v>38</v>
      </c>
      <c r="AC23" s="196" t="s">
        <v>38</v>
      </c>
      <c r="AD23" s="208" t="s">
        <v>38</v>
      </c>
      <c r="AE23" s="210" t="s">
        <v>38</v>
      </c>
      <c r="AG23" s="218">
        <f t="shared" ref="AG23:AG38" si="11">(AA23-M23)/M23*100</f>
        <v>0.60611665899993394</v>
      </c>
      <c r="AH23" s="1" t="s">
        <v>38</v>
      </c>
      <c r="AI23" s="1" t="s">
        <v>38</v>
      </c>
    </row>
    <row r="24" spans="1:35" ht="23.25">
      <c r="A24" s="120"/>
      <c r="B24" s="114" t="s">
        <v>36</v>
      </c>
      <c r="C24" s="120"/>
      <c r="D24" s="126"/>
      <c r="E24" s="108" t="b">
        <v>0</v>
      </c>
      <c r="F24" s="87" t="s">
        <v>98</v>
      </c>
      <c r="G24" s="10">
        <v>3.1379656690455078</v>
      </c>
      <c r="H24" s="11">
        <v>38.928422569735396</v>
      </c>
      <c r="I24" s="13">
        <v>44.055129375812356</v>
      </c>
      <c r="J24" s="193">
        <v>29.77</v>
      </c>
      <c r="K24" s="193">
        <v>15.093</v>
      </c>
      <c r="L24" s="193">
        <v>14.68</v>
      </c>
      <c r="M24" s="193">
        <v>1232.6010000000001</v>
      </c>
      <c r="N24" s="193">
        <v>2293.308</v>
      </c>
      <c r="O24" s="196">
        <f t="shared" si="1"/>
        <v>0.16133899153537162</v>
      </c>
      <c r="P24" s="208">
        <f t="shared" ref="P23:P38" si="12">M24/N24</f>
        <v>0.53747730352835299</v>
      </c>
      <c r="Q24" s="210">
        <f t="shared" ref="Q23:Q38" si="13">N24/M24</f>
        <v>1.8605436795848778</v>
      </c>
      <c r="R24" s="7"/>
      <c r="S24" s="108" t="b">
        <v>0</v>
      </c>
      <c r="T24" s="87" t="s">
        <v>98</v>
      </c>
      <c r="U24" s="30">
        <v>2.9769745262969831</v>
      </c>
      <c r="V24" s="33">
        <v>33.82672055002709</v>
      </c>
      <c r="W24" s="107">
        <v>30.10284517374874</v>
      </c>
      <c r="X24" s="193">
        <v>8.17</v>
      </c>
      <c r="Y24" s="193">
        <v>3.972</v>
      </c>
      <c r="Z24" s="193">
        <v>4.194</v>
      </c>
      <c r="AA24" s="193">
        <v>1240.0719999999999</v>
      </c>
      <c r="AB24" s="193">
        <v>473.84899999999999</v>
      </c>
      <c r="AC24" s="196">
        <f t="shared" ref="AC23:AC38" si="14">$AG$2/AB24</f>
        <v>0.78083946573697527</v>
      </c>
      <c r="AD24" s="208">
        <f t="shared" ref="AD23:AD38" si="15">AA24/AB24</f>
        <v>2.6170193458253577</v>
      </c>
      <c r="AE24" s="210">
        <f t="shared" ref="AE23:AE38" si="16">AB24/AA24</f>
        <v>0.38211410305208088</v>
      </c>
      <c r="AG24" s="218">
        <f t="shared" si="11"/>
        <v>0.60611665899993394</v>
      </c>
      <c r="AH24" s="218">
        <f t="shared" ref="AH24:AH26" si="17">(1-(AB24-N24)/N24)*100</f>
        <v>179.33775140539342</v>
      </c>
      <c r="AI24" s="218">
        <f t="shared" ref="AI24:AI26" si="18">(AC24-O24)/O24*100</f>
        <v>383.9744306730625</v>
      </c>
    </row>
    <row r="25" spans="1:35" ht="23.25">
      <c r="A25" s="120"/>
      <c r="B25" s="114" t="s">
        <v>47</v>
      </c>
      <c r="C25" s="120"/>
      <c r="D25" s="126"/>
      <c r="E25" s="108" t="b">
        <v>0</v>
      </c>
      <c r="F25" s="87" t="s">
        <v>98</v>
      </c>
      <c r="G25" s="10">
        <v>3.6456810558271155</v>
      </c>
      <c r="H25" s="11">
        <v>59.294464212365845</v>
      </c>
      <c r="I25" s="13">
        <v>66.495153488882821</v>
      </c>
      <c r="J25" s="193">
        <v>7.56</v>
      </c>
      <c r="K25" s="193">
        <v>3.8860000000000001</v>
      </c>
      <c r="L25" s="193">
        <v>3.67</v>
      </c>
      <c r="M25" s="193">
        <v>308.14999999999998</v>
      </c>
      <c r="N25" s="193">
        <v>490.85</v>
      </c>
      <c r="O25" s="196">
        <f t="shared" si="1"/>
        <v>0.75379443821941527</v>
      </c>
      <c r="P25" s="208">
        <f t="shared" si="12"/>
        <v>0.62778853010084534</v>
      </c>
      <c r="Q25" s="210">
        <f t="shared" si="13"/>
        <v>1.5928930715560605</v>
      </c>
      <c r="R25" s="7"/>
      <c r="S25" s="108" t="b">
        <v>0</v>
      </c>
      <c r="T25" s="87" t="s">
        <v>98</v>
      </c>
      <c r="U25" s="30">
        <v>3.2976115486377218</v>
      </c>
      <c r="V25" s="33">
        <v>48.867270403302165</v>
      </c>
      <c r="W25" s="107">
        <v>39.802798266069345</v>
      </c>
      <c r="X25" s="193">
        <v>2.0699999999999998</v>
      </c>
      <c r="Y25" s="193">
        <v>1.0229999999999999</v>
      </c>
      <c r="Z25" s="193">
        <v>1.048</v>
      </c>
      <c r="AA25" s="193">
        <v>310.01799999999997</v>
      </c>
      <c r="AB25" s="193">
        <v>99.248000000000005</v>
      </c>
      <c r="AC25" s="196">
        <f t="shared" si="14"/>
        <v>3.72803482186039</v>
      </c>
      <c r="AD25" s="208">
        <f t="shared" si="15"/>
        <v>3.1236699983878764</v>
      </c>
      <c r="AE25" s="210">
        <f t="shared" si="16"/>
        <v>0.32013625015321695</v>
      </c>
      <c r="AG25" s="218">
        <f t="shared" si="11"/>
        <v>0.60619828005841148</v>
      </c>
      <c r="AH25" s="218">
        <f t="shared" si="17"/>
        <v>179.78038097178364</v>
      </c>
      <c r="AI25" s="218">
        <f t="shared" si="18"/>
        <v>394.56916008383047</v>
      </c>
    </row>
    <row r="26" spans="1:35" ht="23.25">
      <c r="A26" s="120"/>
      <c r="B26" s="114" t="s">
        <v>48</v>
      </c>
      <c r="C26" s="120"/>
      <c r="D26" s="126"/>
      <c r="E26" s="108" t="b">
        <v>0</v>
      </c>
      <c r="F26" s="87" t="s">
        <v>98</v>
      </c>
      <c r="G26" s="10">
        <v>3.9442180862791512</v>
      </c>
      <c r="H26" s="11">
        <v>74.949576323890881</v>
      </c>
      <c r="I26" s="13">
        <v>79.385875239115137</v>
      </c>
      <c r="J26" s="193">
        <v>2</v>
      </c>
      <c r="K26" s="193">
        <v>1.085</v>
      </c>
      <c r="L26" s="193">
        <v>0.91700000000000004</v>
      </c>
      <c r="M26" s="193">
        <v>77.037000000000006</v>
      </c>
      <c r="N26" s="193">
        <v>107.68899999999999</v>
      </c>
      <c r="O26" s="196">
        <f t="shared" si="1"/>
        <v>3.4358198144657304</v>
      </c>
      <c r="P26" s="208">
        <f t="shared" si="12"/>
        <v>0.71536554337026081</v>
      </c>
      <c r="Q26" s="210">
        <f t="shared" si="13"/>
        <v>1.3978867297532354</v>
      </c>
      <c r="R26" s="7"/>
      <c r="S26" s="108" t="b">
        <v>0</v>
      </c>
      <c r="T26" s="87" t="s">
        <v>99</v>
      </c>
      <c r="U26" s="30">
        <v>3.5766609045976647</v>
      </c>
      <c r="V26" s="33">
        <v>69.436583519425099</v>
      </c>
      <c r="W26" s="107">
        <v>63.039894334709437</v>
      </c>
      <c r="X26" s="193">
        <v>0.55000000000000004</v>
      </c>
      <c r="Y26" s="193">
        <v>0.28599999999999998</v>
      </c>
      <c r="Z26" s="193">
        <v>0.26200000000000001</v>
      </c>
      <c r="AA26" s="193">
        <v>77.504000000000005</v>
      </c>
      <c r="AB26" s="193">
        <v>7.0380000000000003</v>
      </c>
      <c r="AC26" s="196">
        <f t="shared" si="14"/>
        <v>52.571753339016766</v>
      </c>
      <c r="AD26" s="208">
        <f t="shared" si="15"/>
        <v>11.012219380505826</v>
      </c>
      <c r="AE26" s="210">
        <f t="shared" si="16"/>
        <v>9.0808216350123858E-2</v>
      </c>
      <c r="AG26" s="218">
        <f t="shared" si="11"/>
        <v>0.60620221452029377</v>
      </c>
      <c r="AH26" s="218">
        <f t="shared" si="17"/>
        <v>193.46451355291629</v>
      </c>
      <c r="AI26" s="218">
        <f t="shared" si="18"/>
        <v>1430.1079852230746</v>
      </c>
    </row>
    <row r="27" spans="1:35" ht="23.25">
      <c r="A27" s="122" t="s">
        <v>64</v>
      </c>
      <c r="B27" s="115" t="s">
        <v>39</v>
      </c>
      <c r="C27" s="125">
        <v>16</v>
      </c>
      <c r="D27" s="125">
        <v>6</v>
      </c>
      <c r="E27" s="108" t="b">
        <v>0</v>
      </c>
      <c r="F27" s="199" t="s">
        <v>38</v>
      </c>
      <c r="G27" s="10">
        <v>2.8364421188252535</v>
      </c>
      <c r="H27" s="11">
        <v>27.468931918134942</v>
      </c>
      <c r="I27" s="13">
        <v>30.572436154398083</v>
      </c>
      <c r="J27" s="193">
        <v>59.81</v>
      </c>
      <c r="K27" s="193">
        <v>30.446999999999999</v>
      </c>
      <c r="L27" s="193">
        <v>29.36</v>
      </c>
      <c r="M27" s="193">
        <v>1257.242</v>
      </c>
      <c r="N27" s="193" t="s">
        <v>38</v>
      </c>
      <c r="O27" s="196" t="s">
        <v>38</v>
      </c>
      <c r="P27" s="208" t="s">
        <v>38</v>
      </c>
      <c r="Q27" s="210" t="s">
        <v>38</v>
      </c>
      <c r="R27" s="7"/>
      <c r="S27" s="108" t="b">
        <v>0</v>
      </c>
      <c r="T27" s="199" t="s">
        <v>98</v>
      </c>
      <c r="U27" s="202">
        <v>2.944578685663171</v>
      </c>
      <c r="V27" s="203">
        <v>33.871923912034489</v>
      </c>
      <c r="W27" s="204">
        <v>40.438714669081428</v>
      </c>
      <c r="X27" s="193">
        <v>16.79</v>
      </c>
      <c r="Y27" s="193">
        <v>8.3989999999999991</v>
      </c>
      <c r="Z27" s="193">
        <v>8.3879999999999999</v>
      </c>
      <c r="AA27" s="193">
        <v>1272.4459999999999</v>
      </c>
      <c r="AB27" s="193">
        <v>1339.204</v>
      </c>
      <c r="AC27" s="196">
        <f t="shared" si="14"/>
        <v>0.27628352364538938</v>
      </c>
      <c r="AD27" s="208">
        <f t="shared" si="15"/>
        <v>0.95015098521211105</v>
      </c>
      <c r="AE27" s="210">
        <f t="shared" si="16"/>
        <v>1.0524643088979808</v>
      </c>
      <c r="AG27" s="218">
        <f t="shared" si="11"/>
        <v>1.2093137200316209</v>
      </c>
      <c r="AH27" s="1" t="s">
        <v>38</v>
      </c>
      <c r="AI27" s="1" t="s">
        <v>38</v>
      </c>
    </row>
    <row r="28" spans="1:35" ht="23.25">
      <c r="A28" s="120"/>
      <c r="B28" s="197" t="s">
        <v>36</v>
      </c>
      <c r="C28" s="198"/>
      <c r="D28" s="126"/>
      <c r="E28" s="108" t="b">
        <v>0</v>
      </c>
      <c r="F28" s="87" t="s">
        <v>98</v>
      </c>
      <c r="G28" s="10">
        <v>2.9657039867790624</v>
      </c>
      <c r="H28" s="11">
        <v>30.953320151891855</v>
      </c>
      <c r="I28" s="13">
        <v>29.645581451681359</v>
      </c>
      <c r="J28" s="193">
        <v>14.98</v>
      </c>
      <c r="K28" s="193">
        <v>7.64</v>
      </c>
      <c r="L28" s="193">
        <v>7.34</v>
      </c>
      <c r="M28" s="193">
        <v>314.31</v>
      </c>
      <c r="N28" s="193">
        <v>869.53800000000001</v>
      </c>
      <c r="O28" s="196">
        <f t="shared" si="1"/>
        <v>0.42551331856687113</v>
      </c>
      <c r="P28" s="208">
        <f t="shared" si="12"/>
        <v>0.36146781394257638</v>
      </c>
      <c r="Q28" s="210">
        <f t="shared" si="13"/>
        <v>2.7664980433330153</v>
      </c>
      <c r="R28" s="7"/>
      <c r="S28" s="108" t="b">
        <v>0</v>
      </c>
      <c r="T28" s="87" t="s">
        <v>98</v>
      </c>
      <c r="U28" s="30">
        <v>3.0651823136769001</v>
      </c>
      <c r="V28" s="33">
        <v>36.028178023228534</v>
      </c>
      <c r="W28" s="36">
        <v>43.685183562286227</v>
      </c>
      <c r="X28" s="193">
        <v>4.21</v>
      </c>
      <c r="Y28" s="193">
        <v>2.1080000000000001</v>
      </c>
      <c r="Z28" s="193">
        <v>2.097</v>
      </c>
      <c r="AA28" s="193">
        <v>318.11099999999999</v>
      </c>
      <c r="AB28" s="193">
        <v>223.51599999999999</v>
      </c>
      <c r="AC28" s="196">
        <f t="shared" si="14"/>
        <v>1.6553624796435156</v>
      </c>
      <c r="AD28" s="208">
        <f t="shared" si="15"/>
        <v>1.4232135507077792</v>
      </c>
      <c r="AE28" s="210">
        <f t="shared" si="16"/>
        <v>0.70263524367280605</v>
      </c>
      <c r="AG28" s="218">
        <f t="shared" si="11"/>
        <v>1.2093156437911579</v>
      </c>
      <c r="AH28" s="218">
        <f t="shared" ref="AH28:AH38" si="19">(1-(AB28-N28)/N28)*100</f>
        <v>174.29485542897493</v>
      </c>
      <c r="AI28" s="218">
        <f t="shared" ref="AI28:AI38" si="20">(AC28-O28)/O28*100</f>
        <v>289.02718373628733</v>
      </c>
    </row>
    <row r="29" spans="1:35" ht="23.25">
      <c r="A29" s="120"/>
      <c r="B29" s="197" t="s">
        <v>47</v>
      </c>
      <c r="C29" s="198"/>
      <c r="D29" s="126"/>
      <c r="E29" s="108" t="b">
        <v>0</v>
      </c>
      <c r="F29" s="87" t="s">
        <v>98</v>
      </c>
      <c r="G29" s="10">
        <v>3.3878916879140593</v>
      </c>
      <c r="H29" s="11">
        <v>47.804192945977995</v>
      </c>
      <c r="I29" s="13">
        <v>39.240567816497304</v>
      </c>
      <c r="J29" s="193">
        <v>3.77</v>
      </c>
      <c r="K29" s="193">
        <v>1.9390000000000001</v>
      </c>
      <c r="L29" s="193">
        <v>1.835</v>
      </c>
      <c r="M29" s="193">
        <v>78.576999999999998</v>
      </c>
      <c r="N29" s="193">
        <v>159.39599999999999</v>
      </c>
      <c r="O29" s="196">
        <f t="shared" si="1"/>
        <v>2.3212627669452184</v>
      </c>
      <c r="P29" s="208">
        <f t="shared" si="12"/>
        <v>0.4929672011844714</v>
      </c>
      <c r="Q29" s="210">
        <f t="shared" si="13"/>
        <v>2.028532522239332</v>
      </c>
      <c r="R29" s="7"/>
      <c r="S29" s="108" t="b">
        <v>0</v>
      </c>
      <c r="T29" s="87" t="s">
        <v>99</v>
      </c>
      <c r="U29" s="30">
        <v>3.4906853901531685</v>
      </c>
      <c r="V29" s="33">
        <v>52.099908525050857</v>
      </c>
      <c r="W29" s="36">
        <v>59.411859470935461</v>
      </c>
      <c r="X29" s="193">
        <v>1.06</v>
      </c>
      <c r="Y29" s="193">
        <v>0.53500000000000003</v>
      </c>
      <c r="Z29" s="193">
        <v>0.52400000000000002</v>
      </c>
      <c r="AA29" s="193">
        <v>79.527000000000001</v>
      </c>
      <c r="AB29" s="193">
        <v>16.103999999999999</v>
      </c>
      <c r="AC29" s="196">
        <f t="shared" si="14"/>
        <v>22.975658221559861</v>
      </c>
      <c r="AD29" s="208">
        <f t="shared" si="15"/>
        <v>4.9383383010432196</v>
      </c>
      <c r="AE29" s="210">
        <f t="shared" si="16"/>
        <v>0.20249726507978422</v>
      </c>
      <c r="AG29" s="218">
        <f t="shared" si="11"/>
        <v>1.2090051796327206</v>
      </c>
      <c r="AH29" s="218">
        <f t="shared" si="19"/>
        <v>189.89686064894977</v>
      </c>
      <c r="AI29" s="218">
        <f t="shared" si="20"/>
        <v>889.79135618479881</v>
      </c>
    </row>
    <row r="30" spans="1:35" ht="23.25">
      <c r="A30" s="120"/>
      <c r="B30" s="201" t="s">
        <v>48</v>
      </c>
      <c r="C30" s="126"/>
      <c r="D30" s="126"/>
      <c r="E30" s="108" t="b">
        <v>1</v>
      </c>
      <c r="F30" s="200" t="s">
        <v>99</v>
      </c>
      <c r="G30" s="10">
        <v>3.6675128519130142</v>
      </c>
      <c r="H30" s="11">
        <v>64.8382664203492</v>
      </c>
      <c r="I30" s="13">
        <v>56.046483357352109</v>
      </c>
      <c r="J30" s="193">
        <v>0.97</v>
      </c>
      <c r="K30" s="193">
        <v>0.51300000000000001</v>
      </c>
      <c r="L30" s="193">
        <v>0.45800000000000002</v>
      </c>
      <c r="M30" s="193">
        <v>19.643999999999998</v>
      </c>
      <c r="N30" s="193">
        <v>19.417000000000002</v>
      </c>
      <c r="O30" s="196">
        <f t="shared" si="1"/>
        <v>19.055466858938043</v>
      </c>
      <c r="P30" s="208">
        <f t="shared" si="12"/>
        <v>1.0116907864242672</v>
      </c>
      <c r="Q30" s="210">
        <f t="shared" si="13"/>
        <v>0.98844430869476696</v>
      </c>
      <c r="R30" s="7"/>
      <c r="S30" s="108" t="b">
        <v>0</v>
      </c>
      <c r="T30" s="200" t="s">
        <v>99</v>
      </c>
      <c r="U30" s="205">
        <v>3.5859778364892372</v>
      </c>
      <c r="V30" s="206">
        <v>59.410903132755656</v>
      </c>
      <c r="W30" s="207">
        <v>57.991044173669096</v>
      </c>
      <c r="X30" s="193">
        <v>0.27</v>
      </c>
      <c r="Y30" s="193">
        <v>0.14199999999999999</v>
      </c>
      <c r="Z30" s="193">
        <v>0.13100000000000001</v>
      </c>
      <c r="AA30" s="193">
        <v>19.881</v>
      </c>
      <c r="AB30" s="193">
        <v>3.8620000000000001</v>
      </c>
      <c r="AC30" s="196">
        <f t="shared" si="14"/>
        <v>95.805282237182809</v>
      </c>
      <c r="AD30" s="208">
        <f t="shared" si="15"/>
        <v>5.147850854479544</v>
      </c>
      <c r="AE30" s="210">
        <f t="shared" si="16"/>
        <v>0.19425582214174339</v>
      </c>
      <c r="AG30" s="218">
        <f t="shared" si="11"/>
        <v>1.206475259621268</v>
      </c>
      <c r="AH30" s="218">
        <f t="shared" si="19"/>
        <v>180.11021270021118</v>
      </c>
      <c r="AI30" s="218">
        <f t="shared" si="20"/>
        <v>402.77058518902129</v>
      </c>
    </row>
    <row r="31" spans="1:35" ht="23.25">
      <c r="A31" s="122" t="s">
        <v>69</v>
      </c>
      <c r="B31" s="115" t="s">
        <v>39</v>
      </c>
      <c r="C31" s="125">
        <v>8</v>
      </c>
      <c r="D31" s="125">
        <v>6</v>
      </c>
      <c r="E31" s="108" t="b">
        <v>0</v>
      </c>
      <c r="F31" s="86" t="s">
        <v>98</v>
      </c>
      <c r="G31" s="10">
        <v>3.3748449286256279</v>
      </c>
      <c r="H31" s="11">
        <v>53.613597548141968</v>
      </c>
      <c r="I31" s="13">
        <v>42.769114646823397</v>
      </c>
      <c r="J31" s="193">
        <v>30.42</v>
      </c>
      <c r="K31" s="193">
        <v>15.738</v>
      </c>
      <c r="L31" s="193">
        <v>14.68</v>
      </c>
      <c r="M31" s="193">
        <v>326.63099999999997</v>
      </c>
      <c r="N31" s="193">
        <v>751.13400000000001</v>
      </c>
      <c r="O31" s="196">
        <f t="shared" si="1"/>
        <v>0.49258853946166731</v>
      </c>
      <c r="P31" s="208">
        <f t="shared" si="12"/>
        <v>0.43485050603487524</v>
      </c>
      <c r="Q31" s="210">
        <f t="shared" si="13"/>
        <v>2.2996408791572143</v>
      </c>
      <c r="R31" s="7"/>
      <c r="S31" s="108" t="b">
        <v>0</v>
      </c>
      <c r="T31" s="86" t="s">
        <v>98</v>
      </c>
      <c r="U31" s="30">
        <v>3.3177416687814532</v>
      </c>
      <c r="V31" s="33">
        <v>49.368419899307312</v>
      </c>
      <c r="W31" s="107">
        <v>38.715328166756436</v>
      </c>
      <c r="X31" s="193">
        <v>8.92</v>
      </c>
      <c r="Y31" s="193">
        <v>4.7210000000000001</v>
      </c>
      <c r="Z31" s="193">
        <v>4.194</v>
      </c>
      <c r="AA31" s="193">
        <v>334.495</v>
      </c>
      <c r="AB31" s="193">
        <v>310.55799999999999</v>
      </c>
      <c r="AC31" s="196">
        <f t="shared" si="14"/>
        <v>1.1914038601485069</v>
      </c>
      <c r="AD31" s="208">
        <f t="shared" si="15"/>
        <v>1.0770773897307429</v>
      </c>
      <c r="AE31" s="210">
        <f t="shared" si="16"/>
        <v>0.92843839220317192</v>
      </c>
      <c r="AG31" s="218">
        <f t="shared" si="11"/>
        <v>2.4076098104589074</v>
      </c>
      <c r="AH31" s="218">
        <f t="shared" si="19"/>
        <v>158.65478063834152</v>
      </c>
      <c r="AI31" s="218">
        <f t="shared" si="20"/>
        <v>141.8659316456185</v>
      </c>
    </row>
    <row r="32" spans="1:35" ht="23.25">
      <c r="A32" s="120"/>
      <c r="B32" s="114" t="s">
        <v>36</v>
      </c>
      <c r="C32" s="126"/>
      <c r="D32" s="126"/>
      <c r="E32" s="108" t="b">
        <v>0</v>
      </c>
      <c r="F32" s="87" t="s">
        <v>98</v>
      </c>
      <c r="G32" s="10">
        <v>3.4400032618101544</v>
      </c>
      <c r="H32" s="11">
        <v>59.211125683756016</v>
      </c>
      <c r="I32" s="13">
        <v>43.265595467854645</v>
      </c>
      <c r="J32" s="193">
        <v>7.61</v>
      </c>
      <c r="K32" s="193">
        <v>3.9420000000000002</v>
      </c>
      <c r="L32" s="193">
        <v>3.67</v>
      </c>
      <c r="M32" s="193">
        <v>81.656999999999996</v>
      </c>
      <c r="N32" s="193">
        <v>170.50800000000001</v>
      </c>
      <c r="O32" s="196">
        <f t="shared" si="1"/>
        <v>2.1699861590072018</v>
      </c>
      <c r="P32" s="208">
        <f t="shared" si="12"/>
        <v>0.47890421563797586</v>
      </c>
      <c r="Q32" s="210">
        <f t="shared" si="13"/>
        <v>2.0881002241081599</v>
      </c>
      <c r="R32" s="7"/>
      <c r="S32" s="108" t="b">
        <v>0</v>
      </c>
      <c r="T32" s="87" t="s">
        <v>98</v>
      </c>
      <c r="U32" s="30">
        <v>3.3786870841502203</v>
      </c>
      <c r="V32" s="33">
        <v>53.588659284846429</v>
      </c>
      <c r="W32" s="107">
        <v>37.764603039618422</v>
      </c>
      <c r="X32" s="193">
        <v>2.23</v>
      </c>
      <c r="Y32" s="193">
        <v>1.1819999999999999</v>
      </c>
      <c r="Z32" s="193">
        <v>1.048</v>
      </c>
      <c r="AA32" s="193">
        <v>83.623000000000005</v>
      </c>
      <c r="AB32" s="193">
        <v>63.68</v>
      </c>
      <c r="AC32" s="196">
        <f t="shared" si="14"/>
        <v>5.8103015075376883</v>
      </c>
      <c r="AD32" s="208">
        <f t="shared" si="15"/>
        <v>1.3131752512562815</v>
      </c>
      <c r="AE32" s="210">
        <f t="shared" si="16"/>
        <v>0.76151298087846642</v>
      </c>
      <c r="AG32" s="218">
        <f t="shared" si="11"/>
        <v>2.4076319237787431</v>
      </c>
      <c r="AH32" s="218">
        <f t="shared" si="19"/>
        <v>162.65277875524902</v>
      </c>
      <c r="AI32" s="218">
        <f t="shared" si="20"/>
        <v>167.75753768844223</v>
      </c>
    </row>
    <row r="33" spans="1:35" ht="23.25">
      <c r="A33" s="120"/>
      <c r="B33" s="114" t="s">
        <v>47</v>
      </c>
      <c r="C33" s="126"/>
      <c r="D33" s="126"/>
      <c r="E33" s="108" t="b">
        <v>0</v>
      </c>
      <c r="F33" s="87" t="s">
        <v>98</v>
      </c>
      <c r="G33" s="10">
        <v>3.6485465509491766</v>
      </c>
      <c r="H33" s="11">
        <v>73.341345396436623</v>
      </c>
      <c r="I33" s="13">
        <v>50.549516029246405</v>
      </c>
      <c r="J33" s="193">
        <v>1.91</v>
      </c>
      <c r="K33" s="193">
        <v>0.99299999999999999</v>
      </c>
      <c r="L33" s="193">
        <v>0.91700000000000004</v>
      </c>
      <c r="M33" s="193">
        <v>20.414000000000001</v>
      </c>
      <c r="N33" s="193">
        <v>36.590000000000003</v>
      </c>
      <c r="O33" s="196">
        <f t="shared" si="1"/>
        <v>10.112052473353375</v>
      </c>
      <c r="P33" s="208">
        <f t="shared" si="12"/>
        <v>0.55791199781361023</v>
      </c>
      <c r="Q33" s="210">
        <f t="shared" si="13"/>
        <v>1.7923973743509356</v>
      </c>
      <c r="R33" s="7"/>
      <c r="S33" s="108" t="b">
        <v>0</v>
      </c>
      <c r="T33" s="87" t="s">
        <v>99</v>
      </c>
      <c r="U33" s="30">
        <v>3.6053644577230317</v>
      </c>
      <c r="V33" s="33">
        <v>69.421696070555328</v>
      </c>
      <c r="W33" s="107">
        <v>46.957745454819367</v>
      </c>
      <c r="X33" s="193">
        <v>0.56000000000000005</v>
      </c>
      <c r="Y33" s="193">
        <v>0.29799999999999999</v>
      </c>
      <c r="Z33" s="193">
        <v>0.26200000000000001</v>
      </c>
      <c r="AA33" s="193">
        <v>20.905000000000001</v>
      </c>
      <c r="AB33" s="193">
        <v>10.981999999999999</v>
      </c>
      <c r="AC33" s="196">
        <f t="shared" si="14"/>
        <v>33.691495173920963</v>
      </c>
      <c r="AD33" s="208">
        <f t="shared" si="15"/>
        <v>1.9035694773265346</v>
      </c>
      <c r="AE33" s="210">
        <f t="shared" si="16"/>
        <v>0.52532886869170048</v>
      </c>
      <c r="AG33" s="218">
        <f t="shared" si="11"/>
        <v>2.4052121093367278</v>
      </c>
      <c r="AH33" s="218">
        <f t="shared" si="19"/>
        <v>169.98633506422522</v>
      </c>
      <c r="AI33" s="218">
        <f t="shared" si="20"/>
        <v>233.18156984155897</v>
      </c>
    </row>
    <row r="34" spans="1:35" ht="23.25">
      <c r="A34" s="120"/>
      <c r="B34" s="114" t="s">
        <v>48</v>
      </c>
      <c r="C34" s="126"/>
      <c r="D34" s="126"/>
      <c r="E34" s="108" t="b">
        <v>1</v>
      </c>
      <c r="F34" s="87" t="s">
        <v>99</v>
      </c>
      <c r="G34" s="10">
        <v>3.774957292049824</v>
      </c>
      <c r="H34" s="11">
        <v>82.624861345147721</v>
      </c>
      <c r="I34" s="13">
        <v>68.65167753481812</v>
      </c>
      <c r="J34" s="193">
        <v>0.49</v>
      </c>
      <c r="K34" s="193">
        <v>0.255</v>
      </c>
      <c r="L34" s="193">
        <v>0.22900000000000001</v>
      </c>
      <c r="M34" s="193">
        <v>5.1029999999999998</v>
      </c>
      <c r="N34" s="193">
        <v>5.9640000000000004</v>
      </c>
      <c r="O34" s="196">
        <f t="shared" si="1"/>
        <v>62.038900067069079</v>
      </c>
      <c r="P34" s="208">
        <f t="shared" si="12"/>
        <v>0.85563380281690127</v>
      </c>
      <c r="Q34" s="210">
        <f t="shared" si="13"/>
        <v>1.1687242798353912</v>
      </c>
      <c r="R34" s="7"/>
      <c r="S34" s="108" t="b">
        <v>0</v>
      </c>
      <c r="T34" s="87" t="s">
        <v>99</v>
      </c>
      <c r="U34" s="30">
        <v>3.7512742590868231</v>
      </c>
      <c r="V34" s="33">
        <v>81.434627785899153</v>
      </c>
      <c r="W34" s="107">
        <v>75.820203250354922</v>
      </c>
      <c r="X34" s="193">
        <v>0.14000000000000001</v>
      </c>
      <c r="Y34" s="193">
        <v>7.5999999999999998E-2</v>
      </c>
      <c r="Z34" s="193">
        <v>6.5000000000000002E-2</v>
      </c>
      <c r="AA34" s="193">
        <v>5.226</v>
      </c>
      <c r="AB34" s="193">
        <v>2.8090000000000002</v>
      </c>
      <c r="AC34" s="196">
        <f t="shared" si="14"/>
        <v>131.7194731221075</v>
      </c>
      <c r="AD34" s="208">
        <f t="shared" si="15"/>
        <v>1.860448558205767</v>
      </c>
      <c r="AE34" s="210">
        <f t="shared" si="16"/>
        <v>0.53750478377344058</v>
      </c>
      <c r="AG34" s="218">
        <f t="shared" si="11"/>
        <v>2.4103468547913036</v>
      </c>
      <c r="AH34" s="218">
        <f t="shared" si="19"/>
        <v>152.90073775989268</v>
      </c>
      <c r="AI34" s="218">
        <f t="shared" si="20"/>
        <v>112.31755072979708</v>
      </c>
    </row>
    <row r="35" spans="1:35" ht="23.25">
      <c r="A35" s="122" t="s">
        <v>72</v>
      </c>
      <c r="B35" s="115" t="s">
        <v>39</v>
      </c>
      <c r="C35" s="125">
        <v>4</v>
      </c>
      <c r="D35" s="125">
        <v>6</v>
      </c>
      <c r="E35" s="108" t="b">
        <v>0</v>
      </c>
      <c r="F35" s="86" t="s">
        <v>98</v>
      </c>
      <c r="G35" s="10">
        <v>3.721389698960035</v>
      </c>
      <c r="H35" s="11">
        <v>75.543647026319007</v>
      </c>
      <c r="I35" s="13">
        <v>68.741742346268666</v>
      </c>
      <c r="J35" s="193">
        <v>15.73</v>
      </c>
      <c r="K35" s="193">
        <v>8.391</v>
      </c>
      <c r="L35" s="193">
        <v>7.34</v>
      </c>
      <c r="M35" s="193">
        <v>87.817999999999998</v>
      </c>
      <c r="N35" s="193">
        <v>1313.6849999999999</v>
      </c>
      <c r="O35" s="196">
        <f t="shared" si="1"/>
        <v>0.28165047176454022</v>
      </c>
      <c r="P35" s="208">
        <f t="shared" si="12"/>
        <v>6.6848597647076735E-2</v>
      </c>
      <c r="Q35" s="210">
        <f t="shared" si="13"/>
        <v>14.959176934113735</v>
      </c>
      <c r="R35" s="7"/>
      <c r="S35" s="108" t="b">
        <v>0</v>
      </c>
      <c r="T35" s="86" t="s">
        <v>98</v>
      </c>
      <c r="U35" s="30">
        <v>3.702185829728327</v>
      </c>
      <c r="V35" s="33">
        <v>74.941846202108437</v>
      </c>
      <c r="W35" s="107">
        <v>62.444642680150366</v>
      </c>
      <c r="X35" s="193">
        <v>4.9800000000000004</v>
      </c>
      <c r="Y35" s="193">
        <v>2.8839999999999999</v>
      </c>
      <c r="Z35" s="193">
        <v>2.097</v>
      </c>
      <c r="AA35" s="193">
        <v>92.012</v>
      </c>
      <c r="AB35" s="193">
        <v>347.358</v>
      </c>
      <c r="AC35" s="196">
        <f t="shared" si="14"/>
        <v>1.0651834706556349</v>
      </c>
      <c r="AD35" s="208">
        <f t="shared" si="15"/>
        <v>0.26489097703234127</v>
      </c>
      <c r="AE35" s="210">
        <f t="shared" si="16"/>
        <v>3.7751380254749383</v>
      </c>
      <c r="AG35" s="218">
        <f t="shared" si="11"/>
        <v>4.7757862852718151</v>
      </c>
      <c r="AH35" s="218">
        <f t="shared" si="19"/>
        <v>173.55850146724671</v>
      </c>
      <c r="AI35" s="218">
        <f t="shared" si="20"/>
        <v>278.19339125628318</v>
      </c>
    </row>
    <row r="36" spans="1:35" ht="23.25">
      <c r="A36" s="120"/>
      <c r="B36" s="114" t="s">
        <v>36</v>
      </c>
      <c r="C36" s="126"/>
      <c r="D36" s="126"/>
      <c r="E36" s="108" t="b">
        <v>0</v>
      </c>
      <c r="F36" s="87" t="s">
        <v>98</v>
      </c>
      <c r="G36" s="10">
        <v>3.6982989003653177</v>
      </c>
      <c r="H36" s="11">
        <v>74.386698635742675</v>
      </c>
      <c r="I36" s="13">
        <v>61.996023673676184</v>
      </c>
      <c r="J36" s="193">
        <v>3.93</v>
      </c>
      <c r="K36" s="193">
        <v>2.0990000000000002</v>
      </c>
      <c r="L36" s="193">
        <v>1.835</v>
      </c>
      <c r="M36" s="193">
        <v>21.954000000000001</v>
      </c>
      <c r="N36" s="193">
        <v>296.47199999999998</v>
      </c>
      <c r="O36" s="196">
        <f t="shared" si="1"/>
        <v>1.248009930111444</v>
      </c>
      <c r="P36" s="208">
        <f t="shared" si="12"/>
        <v>7.4050837853153084E-2</v>
      </c>
      <c r="Q36" s="210">
        <f t="shared" si="13"/>
        <v>13.504236130090188</v>
      </c>
      <c r="R36" s="7"/>
      <c r="S36" s="108" t="b">
        <v>0</v>
      </c>
      <c r="T36" s="87" t="s">
        <v>99</v>
      </c>
      <c r="U36" s="30">
        <v>3.6833467137646378</v>
      </c>
      <c r="V36" s="33">
        <v>74.216159631191957</v>
      </c>
      <c r="W36" s="107">
        <v>59.960519844848157</v>
      </c>
      <c r="X36" s="193">
        <v>1.25</v>
      </c>
      <c r="Y36" s="193">
        <v>0.72099999999999997</v>
      </c>
      <c r="Z36" s="193">
        <v>0.52400000000000002</v>
      </c>
      <c r="AA36" s="193">
        <v>23.003</v>
      </c>
      <c r="AB36" s="193">
        <v>41.161000000000001</v>
      </c>
      <c r="AC36" s="196">
        <f t="shared" si="14"/>
        <v>8.9890916158499543</v>
      </c>
      <c r="AD36" s="208">
        <f t="shared" si="15"/>
        <v>0.55885425524161214</v>
      </c>
      <c r="AE36" s="210">
        <f t="shared" si="16"/>
        <v>1.7893752988740599</v>
      </c>
      <c r="AG36" s="218">
        <f t="shared" si="11"/>
        <v>4.7781725425890471</v>
      </c>
      <c r="AH36" s="218">
        <f t="shared" si="19"/>
        <v>186.11639547748186</v>
      </c>
      <c r="AI36" s="218">
        <f t="shared" si="20"/>
        <v>620.27404582007227</v>
      </c>
    </row>
    <row r="37" spans="1:35" ht="23.25">
      <c r="A37" s="120"/>
      <c r="B37" s="114" t="s">
        <v>47</v>
      </c>
      <c r="C37" s="126"/>
      <c r="D37" s="126"/>
      <c r="E37" s="108" t="b">
        <v>1</v>
      </c>
      <c r="F37" s="87" t="s">
        <v>99</v>
      </c>
      <c r="G37" s="10">
        <v>3.7661000075952908</v>
      </c>
      <c r="H37" s="11">
        <v>78.840539578239742</v>
      </c>
      <c r="I37" s="13">
        <v>68.81367963251796</v>
      </c>
      <c r="J37" s="193">
        <v>0.99</v>
      </c>
      <c r="K37" s="193">
        <v>0.52700000000000002</v>
      </c>
      <c r="L37" s="193">
        <v>0.45800000000000002</v>
      </c>
      <c r="M37" s="193">
        <v>5.4880000000000004</v>
      </c>
      <c r="N37" s="193">
        <v>26.588000000000001</v>
      </c>
      <c r="O37" s="196">
        <f t="shared" si="1"/>
        <v>13.916052354445615</v>
      </c>
      <c r="P37" s="208">
        <f t="shared" si="12"/>
        <v>0.20640890627350686</v>
      </c>
      <c r="Q37" s="210">
        <f t="shared" si="13"/>
        <v>4.8447521865889209</v>
      </c>
      <c r="R37" s="7"/>
      <c r="S37" s="108" t="b">
        <v>0</v>
      </c>
      <c r="T37" s="87" t="s">
        <v>99</v>
      </c>
      <c r="U37" s="30">
        <v>3.7663501107692801</v>
      </c>
      <c r="V37" s="33">
        <v>79.945840571663865</v>
      </c>
      <c r="W37" s="107">
        <v>69.048605936269226</v>
      </c>
      <c r="X37" s="193">
        <v>0.31</v>
      </c>
      <c r="Y37" s="193">
        <v>0.18099999999999999</v>
      </c>
      <c r="Z37" s="193">
        <v>0.13100000000000001</v>
      </c>
      <c r="AA37" s="193">
        <v>5.75</v>
      </c>
      <c r="AB37" s="193">
        <v>9.5969999999999995</v>
      </c>
      <c r="AC37" s="196">
        <f t="shared" si="14"/>
        <v>38.553714702511201</v>
      </c>
      <c r="AD37" s="208">
        <f t="shared" si="15"/>
        <v>0.59914556632280924</v>
      </c>
      <c r="AE37" s="210">
        <f t="shared" si="16"/>
        <v>1.6690434782608694</v>
      </c>
      <c r="AG37" s="218">
        <f t="shared" si="11"/>
        <v>4.7740524781341023</v>
      </c>
      <c r="AH37" s="218">
        <f t="shared" si="19"/>
        <v>163.90476906875281</v>
      </c>
      <c r="AI37" s="218">
        <f t="shared" si="20"/>
        <v>177.04490986766697</v>
      </c>
    </row>
    <row r="38" spans="1:35" ht="23.25">
      <c r="A38" s="189"/>
      <c r="B38" s="103" t="s">
        <v>48</v>
      </c>
      <c r="C38" s="188"/>
      <c r="D38" s="188"/>
      <c r="E38" s="109" t="b">
        <v>1</v>
      </c>
      <c r="F38" s="102" t="s">
        <v>99</v>
      </c>
      <c r="G38" s="10">
        <v>3.892815839266436</v>
      </c>
      <c r="H38" s="11">
        <v>84.575028314155148</v>
      </c>
      <c r="I38" s="13">
        <v>81.664383288788798</v>
      </c>
      <c r="J38" s="193">
        <v>0.25</v>
      </c>
      <c r="K38" s="193">
        <v>0.13300000000000001</v>
      </c>
      <c r="L38" s="193">
        <v>0.114</v>
      </c>
      <c r="M38" s="193">
        <v>1.3720000000000001</v>
      </c>
      <c r="N38" s="193">
        <v>3.7869999999999999</v>
      </c>
      <c r="O38" s="196">
        <f t="shared" si="1"/>
        <v>97.702667018748357</v>
      </c>
      <c r="P38" s="208">
        <f t="shared" si="12"/>
        <v>0.36229205175600743</v>
      </c>
      <c r="Q38" s="210">
        <f t="shared" si="13"/>
        <v>2.760204081632653</v>
      </c>
      <c r="R38" s="7"/>
      <c r="S38" s="109" t="b">
        <v>0</v>
      </c>
      <c r="T38" s="102" t="s">
        <v>99</v>
      </c>
      <c r="U38" s="30">
        <v>3.8729610387476434</v>
      </c>
      <c r="V38" s="33">
        <v>86.694236962511866</v>
      </c>
      <c r="W38" s="107">
        <v>82.124096262190932</v>
      </c>
      <c r="X38" s="193">
        <v>0.08</v>
      </c>
      <c r="Y38" s="193">
        <v>4.5999999999999999E-2</v>
      </c>
      <c r="Z38" s="193">
        <v>3.2000000000000001E-2</v>
      </c>
      <c r="AA38" s="193">
        <v>1.4370000000000001</v>
      </c>
      <c r="AB38" s="193">
        <v>2.4420000000000002</v>
      </c>
      <c r="AC38" s="196">
        <f t="shared" si="14"/>
        <v>151.5151515151515</v>
      </c>
      <c r="AD38" s="208">
        <f t="shared" si="15"/>
        <v>0.58845208845208841</v>
      </c>
      <c r="AE38" s="210">
        <f t="shared" si="16"/>
        <v>1.6993736951983298</v>
      </c>
      <c r="AG38" s="218">
        <f t="shared" si="11"/>
        <v>4.7376093294460597</v>
      </c>
      <c r="AH38" s="218">
        <f t="shared" si="19"/>
        <v>135.51623976762608</v>
      </c>
      <c r="AI38" s="218">
        <f t="shared" si="20"/>
        <v>55.077805077805053</v>
      </c>
    </row>
  </sheetData>
  <mergeCells count="60">
    <mergeCell ref="W3:W4"/>
    <mergeCell ref="C6:C9"/>
    <mergeCell ref="D6:D9"/>
    <mergeCell ref="C1:C4"/>
    <mergeCell ref="D1:D4"/>
    <mergeCell ref="G2:I2"/>
    <mergeCell ref="U2:W2"/>
    <mergeCell ref="G3:G4"/>
    <mergeCell ref="H3:H4"/>
    <mergeCell ref="J3:J4"/>
    <mergeCell ref="I3:I4"/>
    <mergeCell ref="E2:E4"/>
    <mergeCell ref="F2:F4"/>
    <mergeCell ref="E1:Q1"/>
    <mergeCell ref="A7:A9"/>
    <mergeCell ref="A10:A13"/>
    <mergeCell ref="U3:U4"/>
    <mergeCell ref="L3:L4"/>
    <mergeCell ref="V3:V4"/>
    <mergeCell ref="A1:A4"/>
    <mergeCell ref="B1:B4"/>
    <mergeCell ref="S1:AE1"/>
    <mergeCell ref="S2:S4"/>
    <mergeCell ref="T2:T4"/>
    <mergeCell ref="A18:A21"/>
    <mergeCell ref="C10:C13"/>
    <mergeCell ref="D10:D13"/>
    <mergeCell ref="A14:A17"/>
    <mergeCell ref="C14:C17"/>
    <mergeCell ref="D14:D17"/>
    <mergeCell ref="Z3:Z4"/>
    <mergeCell ref="N2:N4"/>
    <mergeCell ref="C35:C38"/>
    <mergeCell ref="D35:D38"/>
    <mergeCell ref="A35:A38"/>
    <mergeCell ref="C27:C30"/>
    <mergeCell ref="D27:D30"/>
    <mergeCell ref="A31:A34"/>
    <mergeCell ref="C31:C34"/>
    <mergeCell ref="D31:D34"/>
    <mergeCell ref="A27:A30"/>
    <mergeCell ref="C18:C21"/>
    <mergeCell ref="D18:D21"/>
    <mergeCell ref="A23:A26"/>
    <mergeCell ref="C23:C26"/>
    <mergeCell ref="D23:D26"/>
    <mergeCell ref="AA2:AA4"/>
    <mergeCell ref="AB2:AB4"/>
    <mergeCell ref="O2:O4"/>
    <mergeCell ref="AC2:AC4"/>
    <mergeCell ref="P2:P4"/>
    <mergeCell ref="Q2:Q4"/>
    <mergeCell ref="AD2:AD4"/>
    <mergeCell ref="AE2:AE4"/>
    <mergeCell ref="M2:M4"/>
    <mergeCell ref="J2:L2"/>
    <mergeCell ref="X2:Z2"/>
    <mergeCell ref="X3:X4"/>
    <mergeCell ref="K3:K4"/>
    <mergeCell ref="Y3:Y4"/>
  </mergeCells>
  <conditionalFormatting sqref="F6:F21 F23:F38 T23:T38 T6:T21">
    <cfRule type="containsText" dxfId="1" priority="1" operator="containsText" text="L2">
      <formula>NOT(ISERROR(SEARCH("L2",F6)))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C3EDA7-FAF8-4561-8201-2579F7F1149E}">
  <dimension ref="A1:AJ38"/>
  <sheetViews>
    <sheetView zoomScale="46" workbookViewId="0">
      <selection activeCell="AH27" sqref="AH27:AI27"/>
    </sheetView>
  </sheetViews>
  <sheetFormatPr defaultRowHeight="15" customHeight="1"/>
  <cols>
    <col min="1" max="1" width="19.140625" customWidth="1"/>
    <col min="2" max="2" width="14.85546875" bestFit="1" customWidth="1"/>
    <col min="3" max="3" width="15.42578125" customWidth="1"/>
    <col min="4" max="4" width="16.5703125" bestFit="1" customWidth="1"/>
    <col min="5" max="5" width="13.42578125" customWidth="1"/>
    <col min="6" max="6" width="15.28515625" customWidth="1"/>
    <col min="7" max="9" width="15.5703125" customWidth="1"/>
    <col min="10" max="13" width="15.5703125" style="106" customWidth="1"/>
    <col min="14" max="14" width="16.5703125" style="106" bestFit="1" customWidth="1"/>
    <col min="15" max="15" width="24.42578125" style="106" customWidth="1"/>
    <col min="16" max="17" width="6.42578125" style="106" bestFit="1" customWidth="1"/>
    <col min="18" max="18" width="5" customWidth="1"/>
    <col min="19" max="19" width="12.42578125" customWidth="1"/>
    <col min="20" max="20" width="13.7109375" customWidth="1"/>
    <col min="21" max="27" width="15.5703125" customWidth="1"/>
    <col min="28" max="28" width="16.5703125" bestFit="1" customWidth="1"/>
    <col min="29" max="29" width="24.140625" customWidth="1"/>
    <col min="30" max="31" width="6.42578125" bestFit="1" customWidth="1"/>
    <col min="33" max="33" width="27.42578125" customWidth="1"/>
    <col min="34" max="34" width="23.42578125" bestFit="1" customWidth="1"/>
    <col min="35" max="35" width="21.42578125" customWidth="1"/>
    <col min="36" max="36" width="11.42578125" bestFit="1" customWidth="1"/>
  </cols>
  <sheetData>
    <row r="1" spans="1:36" ht="47.25" customHeight="1">
      <c r="A1" s="165" t="s">
        <v>0</v>
      </c>
      <c r="B1" s="167" t="s">
        <v>5</v>
      </c>
      <c r="C1" s="167" t="s">
        <v>6</v>
      </c>
      <c r="D1" s="214" t="s">
        <v>7</v>
      </c>
      <c r="E1" s="139" t="s">
        <v>76</v>
      </c>
      <c r="F1" s="139"/>
      <c r="G1" s="139"/>
      <c r="H1" s="139"/>
      <c r="I1" s="139"/>
      <c r="J1" s="139"/>
      <c r="K1" s="139"/>
      <c r="L1" s="139"/>
      <c r="M1" s="139"/>
      <c r="N1" s="139"/>
      <c r="O1" s="139"/>
      <c r="P1" s="139"/>
      <c r="Q1" s="139"/>
      <c r="R1" s="104"/>
      <c r="S1" s="139" t="s">
        <v>77</v>
      </c>
      <c r="T1" s="139"/>
      <c r="U1" s="139"/>
      <c r="V1" s="139"/>
      <c r="W1" s="139"/>
      <c r="X1" s="139"/>
      <c r="Y1" s="139"/>
      <c r="Z1" s="139"/>
      <c r="AA1" s="139"/>
      <c r="AB1" s="139"/>
      <c r="AC1" s="139"/>
      <c r="AD1" s="139"/>
      <c r="AE1" s="139"/>
      <c r="AG1" s="110" t="s">
        <v>78</v>
      </c>
      <c r="AH1" s="110" t="s">
        <v>79</v>
      </c>
      <c r="AI1" s="110" t="s">
        <v>80</v>
      </c>
      <c r="AJ1" s="110" t="s">
        <v>81</v>
      </c>
    </row>
    <row r="2" spans="1:36" ht="44.25" customHeight="1">
      <c r="A2" s="166"/>
      <c r="B2" s="168"/>
      <c r="C2" s="168"/>
      <c r="D2" s="171"/>
      <c r="E2" s="212" t="s">
        <v>82</v>
      </c>
      <c r="F2" s="215" t="s">
        <v>83</v>
      </c>
      <c r="G2" s="190" t="s">
        <v>84</v>
      </c>
      <c r="H2" s="190"/>
      <c r="I2" s="191"/>
      <c r="J2" s="184" t="s">
        <v>85</v>
      </c>
      <c r="K2" s="184"/>
      <c r="L2" s="184"/>
      <c r="M2" s="183" t="s">
        <v>86</v>
      </c>
      <c r="N2" s="185" t="s">
        <v>87</v>
      </c>
      <c r="O2" s="185" t="s">
        <v>88</v>
      </c>
      <c r="P2" s="185" t="s">
        <v>89</v>
      </c>
      <c r="Q2" s="185" t="s">
        <v>90</v>
      </c>
      <c r="S2" s="166" t="s">
        <v>82</v>
      </c>
      <c r="T2" s="215" t="s">
        <v>83</v>
      </c>
      <c r="U2" s="190" t="s">
        <v>84</v>
      </c>
      <c r="V2" s="190"/>
      <c r="W2" s="191"/>
      <c r="X2" s="184" t="s">
        <v>85</v>
      </c>
      <c r="Y2" s="184"/>
      <c r="Z2" s="184"/>
      <c r="AA2" s="183" t="s">
        <v>86</v>
      </c>
      <c r="AB2" s="185" t="s">
        <v>87</v>
      </c>
      <c r="AC2" s="185" t="s">
        <v>91</v>
      </c>
      <c r="AD2" s="185" t="s">
        <v>89</v>
      </c>
      <c r="AE2" s="185" t="s">
        <v>90</v>
      </c>
      <c r="AG2" s="111">
        <v>370</v>
      </c>
      <c r="AH2" s="111">
        <v>128</v>
      </c>
      <c r="AI2" s="111">
        <v>1.5</v>
      </c>
      <c r="AJ2" s="111">
        <v>32</v>
      </c>
    </row>
    <row r="3" spans="1:36" ht="17.649999999999999" customHeight="1">
      <c r="A3" s="166"/>
      <c r="B3" s="168"/>
      <c r="C3" s="168"/>
      <c r="D3" s="171"/>
      <c r="E3" s="212"/>
      <c r="F3" s="215"/>
      <c r="G3" s="174" t="s">
        <v>21</v>
      </c>
      <c r="H3" s="176" t="s">
        <v>23</v>
      </c>
      <c r="I3" s="192" t="s">
        <v>25</v>
      </c>
      <c r="J3" s="187" t="s">
        <v>92</v>
      </c>
      <c r="K3" s="187" t="s">
        <v>93</v>
      </c>
      <c r="L3" s="187" t="s">
        <v>94</v>
      </c>
      <c r="M3" s="183"/>
      <c r="N3" s="186"/>
      <c r="O3" s="186"/>
      <c r="P3" s="186"/>
      <c r="Q3" s="186"/>
      <c r="S3" s="166"/>
      <c r="T3" s="215"/>
      <c r="U3" s="179" t="s">
        <v>21</v>
      </c>
      <c r="V3" s="181" t="s">
        <v>23</v>
      </c>
      <c r="W3" s="158" t="s">
        <v>25</v>
      </c>
      <c r="X3" s="187" t="s">
        <v>92</v>
      </c>
      <c r="Y3" s="187" t="s">
        <v>93</v>
      </c>
      <c r="Z3" s="187" t="s">
        <v>94</v>
      </c>
      <c r="AA3" s="183"/>
      <c r="AB3" s="186"/>
      <c r="AC3" s="186"/>
      <c r="AD3" s="186"/>
      <c r="AE3" s="186"/>
    </row>
    <row r="4" spans="1:36" ht="42.75" customHeight="1">
      <c r="A4" s="141"/>
      <c r="B4" s="169"/>
      <c r="C4" s="169"/>
      <c r="D4" s="172"/>
      <c r="E4" s="213"/>
      <c r="F4" s="216"/>
      <c r="G4" s="175"/>
      <c r="H4" s="177"/>
      <c r="I4" s="192"/>
      <c r="J4" s="187"/>
      <c r="K4" s="187"/>
      <c r="L4" s="187"/>
      <c r="M4" s="184"/>
      <c r="N4" s="186"/>
      <c r="O4" s="186"/>
      <c r="P4" s="186"/>
      <c r="Q4" s="186"/>
      <c r="S4" s="141"/>
      <c r="T4" s="216"/>
      <c r="U4" s="180"/>
      <c r="V4" s="182"/>
      <c r="W4" s="158"/>
      <c r="X4" s="187"/>
      <c r="Y4" s="187"/>
      <c r="Z4" s="187"/>
      <c r="AA4" s="184"/>
      <c r="AB4" s="186"/>
      <c r="AC4" s="186"/>
      <c r="AD4" s="186"/>
      <c r="AE4" s="186"/>
      <c r="AG4" s="217" t="s">
        <v>95</v>
      </c>
      <c r="AH4" s="217" t="s">
        <v>96</v>
      </c>
      <c r="AI4" s="217" t="s">
        <v>97</v>
      </c>
    </row>
    <row r="6" spans="1:36" ht="37.5">
      <c r="A6" s="113" t="s">
        <v>35</v>
      </c>
      <c r="B6" s="115" t="s">
        <v>39</v>
      </c>
      <c r="C6" s="122">
        <v>32</v>
      </c>
      <c r="D6" s="122">
        <v>8</v>
      </c>
      <c r="E6" s="108" t="b">
        <v>0</v>
      </c>
      <c r="F6" s="86" t="s">
        <v>38</v>
      </c>
      <c r="G6" s="10">
        <v>2.7008903720110249</v>
      </c>
      <c r="H6" s="11">
        <v>23.586040474922733</v>
      </c>
      <c r="I6" s="13">
        <v>24.962147514698017</v>
      </c>
      <c r="J6" s="193"/>
      <c r="K6" s="193"/>
      <c r="L6" s="193"/>
      <c r="M6" s="193"/>
      <c r="N6" s="193"/>
      <c r="O6" s="196" t="e">
        <f t="shared" ref="O6:O38" si="0">$AG$2/N6</f>
        <v>#DIV/0!</v>
      </c>
      <c r="P6" s="208" t="e">
        <f t="shared" ref="P6" si="1">M6/N6</f>
        <v>#DIV/0!</v>
      </c>
      <c r="Q6" s="210" t="e">
        <f t="shared" ref="Q6" si="2">N6/M6</f>
        <v>#DIV/0!</v>
      </c>
      <c r="R6" s="6"/>
      <c r="S6" s="108" t="b">
        <v>0</v>
      </c>
      <c r="T6" s="86" t="s">
        <v>38</v>
      </c>
      <c r="U6" s="30">
        <v>2.7545574296947533</v>
      </c>
      <c r="V6" s="33">
        <v>23.321302959593233</v>
      </c>
      <c r="W6" s="107">
        <v>23.2235551422086</v>
      </c>
      <c r="X6" s="193"/>
      <c r="Y6" s="193"/>
      <c r="Z6" s="193"/>
      <c r="AA6" s="193"/>
      <c r="AB6" s="193"/>
      <c r="AC6" s="196" t="e">
        <f>$AG$2/AB6</f>
        <v>#DIV/0!</v>
      </c>
      <c r="AD6" s="208" t="e">
        <f>AA6/AB6</f>
        <v>#DIV/0!</v>
      </c>
      <c r="AE6" s="210" t="e">
        <f>AB6/AA6</f>
        <v>#DIV/0!</v>
      </c>
      <c r="AG6" s="218" t="e">
        <f>(AA6-M6)/M6*100</f>
        <v>#DIV/0!</v>
      </c>
      <c r="AH6" s="218" t="e">
        <f>(1-(AB6-N6)/N6)*100</f>
        <v>#DIV/0!</v>
      </c>
      <c r="AI6" s="218" t="e">
        <f>(AC6-O6)/O6*100</f>
        <v>#DIV/0!</v>
      </c>
    </row>
    <row r="7" spans="1:36" ht="23.25">
      <c r="A7" s="122" t="s">
        <v>44</v>
      </c>
      <c r="B7" s="114" t="s">
        <v>36</v>
      </c>
      <c r="C7" s="120"/>
      <c r="D7" s="120"/>
      <c r="E7" s="108" t="b">
        <v>0</v>
      </c>
      <c r="F7" s="87" t="s">
        <v>98</v>
      </c>
      <c r="G7" s="10">
        <v>2.7929207645462828</v>
      </c>
      <c r="H7" s="11">
        <v>27.837933644034909</v>
      </c>
      <c r="I7" s="13">
        <v>30.652657192829665</v>
      </c>
      <c r="J7" s="193"/>
      <c r="K7" s="193"/>
      <c r="L7" s="193"/>
      <c r="M7" s="193"/>
      <c r="N7" s="193"/>
      <c r="O7" s="196" t="e">
        <f>$AG$2/N7</f>
        <v>#DIV/0!</v>
      </c>
      <c r="P7" s="208" t="e">
        <f>M7/N7</f>
        <v>#DIV/0!</v>
      </c>
      <c r="Q7" s="210" t="e">
        <f>N7/M7</f>
        <v>#DIV/0!</v>
      </c>
      <c r="R7" s="6"/>
      <c r="S7" s="108" t="b">
        <v>0</v>
      </c>
      <c r="T7" s="87" t="s">
        <v>98</v>
      </c>
      <c r="U7" s="30">
        <v>2.8816362835793363</v>
      </c>
      <c r="V7" s="33">
        <v>28.702502876037716</v>
      </c>
      <c r="W7" s="107">
        <v>30.845961836990348</v>
      </c>
      <c r="X7" s="193"/>
      <c r="Y7" s="193"/>
      <c r="Z7" s="193"/>
      <c r="AA7" s="193"/>
      <c r="AB7" s="193"/>
      <c r="AC7" s="196" t="e">
        <f>$AG$2/AB7</f>
        <v>#DIV/0!</v>
      </c>
      <c r="AD7" s="208" t="e">
        <f>AA7/AB7</f>
        <v>#DIV/0!</v>
      </c>
      <c r="AE7" s="210" t="e">
        <f>AB7/AA7</f>
        <v>#DIV/0!</v>
      </c>
      <c r="AG7" s="218" t="e">
        <f t="shared" ref="AG7:AG21" si="3">(AA7-M7)/M7*100</f>
        <v>#DIV/0!</v>
      </c>
      <c r="AH7" s="218" t="e">
        <f>(1-(AB7-N7)/N7)*100</f>
        <v>#DIV/0!</v>
      </c>
      <c r="AI7" s="218" t="e">
        <f>(AC7-O7)/O7*100</f>
        <v>#DIV/0!</v>
      </c>
    </row>
    <row r="8" spans="1:36" ht="23.25">
      <c r="A8" s="120"/>
      <c r="B8" s="114" t="s">
        <v>47</v>
      </c>
      <c r="C8" s="120"/>
      <c r="D8" s="120"/>
      <c r="E8" s="108" t="b">
        <v>0</v>
      </c>
      <c r="F8" s="87" t="s">
        <v>98</v>
      </c>
      <c r="G8" s="10">
        <v>3.2279323965171165</v>
      </c>
      <c r="H8" s="11">
        <v>45.123795739083384</v>
      </c>
      <c r="I8" s="13">
        <v>43.801000964515076</v>
      </c>
      <c r="J8" s="193"/>
      <c r="K8" s="193"/>
      <c r="L8" s="193"/>
      <c r="M8" s="193"/>
      <c r="N8" s="193"/>
      <c r="O8" s="196" t="e">
        <f t="shared" si="0"/>
        <v>#DIV/0!</v>
      </c>
      <c r="P8" s="208" t="e">
        <f t="shared" ref="P8:P10" si="4">M8/N8</f>
        <v>#DIV/0!</v>
      </c>
      <c r="Q8" s="210" t="e">
        <f t="shared" ref="Q8:Q10" si="5">N8/M8</f>
        <v>#DIV/0!</v>
      </c>
      <c r="R8" s="6"/>
      <c r="S8" s="108" t="b">
        <v>0</v>
      </c>
      <c r="T8" s="87" t="s">
        <v>98</v>
      </c>
      <c r="U8" s="30">
        <v>3.2487810360100768</v>
      </c>
      <c r="V8" s="33">
        <v>44.193844105267196</v>
      </c>
      <c r="W8" s="107">
        <v>40.284976628139631</v>
      </c>
      <c r="X8" s="193"/>
      <c r="Y8" s="193"/>
      <c r="Z8" s="193"/>
      <c r="AA8" s="193"/>
      <c r="AB8" s="193"/>
      <c r="AC8" s="196" t="e">
        <f t="shared" ref="AC8:AC21" si="6">$AG$2/AB8</f>
        <v>#DIV/0!</v>
      </c>
      <c r="AD8" s="208" t="e">
        <f t="shared" ref="AD8:AD21" si="7">AA8/AB8</f>
        <v>#DIV/0!</v>
      </c>
      <c r="AE8" s="210" t="e">
        <f t="shared" ref="AE8:AE21" si="8">AB8/AA8</f>
        <v>#DIV/0!</v>
      </c>
      <c r="AG8" s="218" t="e">
        <f t="shared" si="3"/>
        <v>#DIV/0!</v>
      </c>
      <c r="AH8" s="218" t="e">
        <f t="shared" ref="AH8:AH21" si="9">(1-(AB8-N8)/N8)*100</f>
        <v>#DIV/0!</v>
      </c>
      <c r="AI8" s="218" t="e">
        <f t="shared" ref="AI8:AI21" si="10">(AC8-O8)/O8*100</f>
        <v>#DIV/0!</v>
      </c>
    </row>
    <row r="9" spans="1:36" ht="23.25">
      <c r="A9" s="120"/>
      <c r="B9" s="114" t="s">
        <v>48</v>
      </c>
      <c r="C9" s="120"/>
      <c r="D9" s="120"/>
      <c r="E9" s="108" t="b">
        <v>0</v>
      </c>
      <c r="F9" s="87" t="s">
        <v>98</v>
      </c>
      <c r="G9" s="10">
        <v>3.5046819369157234</v>
      </c>
      <c r="H9" s="11">
        <v>60.408825037207649</v>
      </c>
      <c r="I9" s="13">
        <v>57.225019798341471</v>
      </c>
      <c r="J9" s="193"/>
      <c r="K9" s="193"/>
      <c r="L9" s="193"/>
      <c r="M9" s="193"/>
      <c r="N9" s="193"/>
      <c r="O9" s="196" t="e">
        <f t="shared" si="0"/>
        <v>#DIV/0!</v>
      </c>
      <c r="P9" s="208" t="e">
        <f t="shared" si="4"/>
        <v>#DIV/0!</v>
      </c>
      <c r="Q9" s="210" t="e">
        <f t="shared" si="5"/>
        <v>#DIV/0!</v>
      </c>
      <c r="R9" s="6"/>
      <c r="S9" s="108" t="b">
        <v>0</v>
      </c>
      <c r="T9" s="87" t="s">
        <v>99</v>
      </c>
      <c r="U9" s="30">
        <v>3.5204099287008996</v>
      </c>
      <c r="V9" s="33">
        <v>61.942718545206191</v>
      </c>
      <c r="W9" s="107">
        <v>55.653747288087963</v>
      </c>
      <c r="X9" s="193"/>
      <c r="Y9" s="193"/>
      <c r="Z9" s="193"/>
      <c r="AA9" s="193"/>
      <c r="AB9" s="193"/>
      <c r="AC9" s="196" t="e">
        <f t="shared" si="6"/>
        <v>#DIV/0!</v>
      </c>
      <c r="AD9" s="208" t="e">
        <f t="shared" si="7"/>
        <v>#DIV/0!</v>
      </c>
      <c r="AE9" s="210" t="e">
        <f t="shared" si="8"/>
        <v>#DIV/0!</v>
      </c>
      <c r="AG9" s="218" t="e">
        <f t="shared" si="3"/>
        <v>#DIV/0!</v>
      </c>
      <c r="AH9" s="218" t="e">
        <f t="shared" si="9"/>
        <v>#DIV/0!</v>
      </c>
      <c r="AI9" s="218" t="e">
        <f t="shared" si="10"/>
        <v>#DIV/0!</v>
      </c>
    </row>
    <row r="10" spans="1:36" ht="23.25">
      <c r="A10" s="122" t="s">
        <v>49</v>
      </c>
      <c r="B10" s="115" t="s">
        <v>39</v>
      </c>
      <c r="C10" s="125">
        <v>16</v>
      </c>
      <c r="D10" s="122">
        <v>8</v>
      </c>
      <c r="E10" s="108" t="b">
        <v>0</v>
      </c>
      <c r="F10" s="86" t="s">
        <v>38</v>
      </c>
      <c r="G10" s="10">
        <v>2.9056504003740868</v>
      </c>
      <c r="H10" s="11">
        <v>29.418245410606737</v>
      </c>
      <c r="I10" s="13">
        <v>25.451105543118647</v>
      </c>
      <c r="J10" s="193"/>
      <c r="K10" s="193"/>
      <c r="L10" s="193"/>
      <c r="M10" s="193"/>
      <c r="N10" s="193"/>
      <c r="O10" s="196" t="e">
        <f t="shared" si="0"/>
        <v>#DIV/0!</v>
      </c>
      <c r="P10" s="208" t="e">
        <f t="shared" si="4"/>
        <v>#DIV/0!</v>
      </c>
      <c r="Q10" s="210" t="e">
        <f t="shared" si="5"/>
        <v>#DIV/0!</v>
      </c>
      <c r="R10" s="6"/>
      <c r="S10" s="108" t="b">
        <v>0</v>
      </c>
      <c r="T10" s="86" t="s">
        <v>98</v>
      </c>
      <c r="U10" s="30">
        <v>2.913211528898024</v>
      </c>
      <c r="V10" s="33">
        <v>27.688457318170823</v>
      </c>
      <c r="W10" s="107">
        <v>25.402520584204385</v>
      </c>
      <c r="X10" s="193"/>
      <c r="Y10" s="193"/>
      <c r="Z10" s="193"/>
      <c r="AA10" s="193"/>
      <c r="AB10" s="193"/>
      <c r="AC10" s="196" t="e">
        <f t="shared" si="6"/>
        <v>#DIV/0!</v>
      </c>
      <c r="AD10" s="208" t="e">
        <f t="shared" si="7"/>
        <v>#DIV/0!</v>
      </c>
      <c r="AE10" s="210" t="e">
        <f t="shared" si="8"/>
        <v>#DIV/0!</v>
      </c>
      <c r="AG10" s="218" t="e">
        <f t="shared" si="3"/>
        <v>#DIV/0!</v>
      </c>
      <c r="AH10" s="218" t="e">
        <f>(1-(AB10-N10)/N10)*100</f>
        <v>#DIV/0!</v>
      </c>
      <c r="AI10" s="218" t="e">
        <f>(AC10-O10)/O10*100</f>
        <v>#DIV/0!</v>
      </c>
    </row>
    <row r="11" spans="1:36" ht="23.25">
      <c r="A11" s="120"/>
      <c r="B11" s="114" t="s">
        <v>36</v>
      </c>
      <c r="C11" s="126"/>
      <c r="D11" s="120"/>
      <c r="E11" s="108" t="b">
        <v>0</v>
      </c>
      <c r="F11" s="87" t="s">
        <v>98</v>
      </c>
      <c r="G11" s="10">
        <v>3.0932460694996031</v>
      </c>
      <c r="H11" s="11">
        <v>36.999653564047492</v>
      </c>
      <c r="I11" s="13">
        <v>32.854379229293009</v>
      </c>
      <c r="J11" s="193"/>
      <c r="K11" s="193"/>
      <c r="L11" s="193"/>
      <c r="M11" s="193"/>
      <c r="N11" s="193"/>
      <c r="O11" s="196" t="e">
        <f t="shared" si="0"/>
        <v>#DIV/0!</v>
      </c>
      <c r="P11" s="208" t="e">
        <f t="shared" ref="P11:P21" si="11">M11/N11</f>
        <v>#DIV/0!</v>
      </c>
      <c r="Q11" s="210" t="e">
        <f t="shared" ref="Q11:Q21" si="12">N11/M11</f>
        <v>#DIV/0!</v>
      </c>
      <c r="R11" s="7"/>
      <c r="S11" s="108" t="b">
        <v>0</v>
      </c>
      <c r="T11" s="87" t="s">
        <v>98</v>
      </c>
      <c r="U11" s="30">
        <v>3.0665953174425553</v>
      </c>
      <c r="V11" s="33">
        <v>34.793081838633675</v>
      </c>
      <c r="W11" s="107">
        <v>30.441823191405849</v>
      </c>
      <c r="X11" s="193"/>
      <c r="Y11" s="193"/>
      <c r="Z11" s="193"/>
      <c r="AA11" s="193"/>
      <c r="AB11" s="193"/>
      <c r="AC11" s="196" t="e">
        <f t="shared" si="6"/>
        <v>#DIV/0!</v>
      </c>
      <c r="AD11" s="208" t="e">
        <f t="shared" si="7"/>
        <v>#DIV/0!</v>
      </c>
      <c r="AE11" s="210" t="e">
        <f t="shared" si="8"/>
        <v>#DIV/0!</v>
      </c>
      <c r="AG11" s="218" t="e">
        <f t="shared" si="3"/>
        <v>#DIV/0!</v>
      </c>
      <c r="AH11" s="218" t="e">
        <f t="shared" si="9"/>
        <v>#DIV/0!</v>
      </c>
      <c r="AI11" s="218" t="e">
        <f t="shared" si="10"/>
        <v>#DIV/0!</v>
      </c>
    </row>
    <row r="12" spans="1:36" ht="23.25">
      <c r="A12" s="120"/>
      <c r="B12" s="114" t="s">
        <v>47</v>
      </c>
      <c r="C12" s="126"/>
      <c r="D12" s="120"/>
      <c r="E12" s="108" t="b">
        <v>0</v>
      </c>
      <c r="F12" s="87" t="s">
        <v>98</v>
      </c>
      <c r="G12" s="10">
        <v>3.5386004592995217</v>
      </c>
      <c r="H12" s="11">
        <v>55.234656273948836</v>
      </c>
      <c r="I12" s="13">
        <v>53.235131362080594</v>
      </c>
      <c r="J12" s="193"/>
      <c r="K12" s="193"/>
      <c r="L12" s="193"/>
      <c r="M12" s="193"/>
      <c r="N12" s="193"/>
      <c r="O12" s="196" t="e">
        <f t="shared" si="0"/>
        <v>#DIV/0!</v>
      </c>
      <c r="P12" s="208" t="e">
        <f t="shared" si="11"/>
        <v>#DIV/0!</v>
      </c>
      <c r="Q12" s="210" t="e">
        <f t="shared" si="12"/>
        <v>#DIV/0!</v>
      </c>
      <c r="R12" s="7"/>
      <c r="S12" s="108" t="b">
        <v>0</v>
      </c>
      <c r="T12" s="87" t="s">
        <v>99</v>
      </c>
      <c r="U12" s="30">
        <v>3.5523978515717483</v>
      </c>
      <c r="V12" s="33">
        <v>54.105746532979566</v>
      </c>
      <c r="W12" s="107">
        <v>52.881273057526137</v>
      </c>
      <c r="X12" s="193"/>
      <c r="Y12" s="193"/>
      <c r="Z12" s="193"/>
      <c r="AA12" s="193"/>
      <c r="AB12" s="193"/>
      <c r="AC12" s="196" t="e">
        <f t="shared" si="6"/>
        <v>#DIV/0!</v>
      </c>
      <c r="AD12" s="208" t="e">
        <f t="shared" si="7"/>
        <v>#DIV/0!</v>
      </c>
      <c r="AE12" s="210" t="e">
        <f t="shared" si="8"/>
        <v>#DIV/0!</v>
      </c>
      <c r="AG12" s="218" t="e">
        <f t="shared" si="3"/>
        <v>#DIV/0!</v>
      </c>
      <c r="AH12" s="218" t="e">
        <f t="shared" si="9"/>
        <v>#DIV/0!</v>
      </c>
      <c r="AI12" s="218" t="e">
        <f t="shared" si="10"/>
        <v>#DIV/0!</v>
      </c>
    </row>
    <row r="13" spans="1:36" ht="23.25">
      <c r="A13" s="120"/>
      <c r="B13" s="114" t="s">
        <v>48</v>
      </c>
      <c r="C13" s="126"/>
      <c r="D13" s="120"/>
      <c r="E13" s="108" t="b">
        <v>0</v>
      </c>
      <c r="F13" s="87" t="s">
        <v>99</v>
      </c>
      <c r="G13" s="10">
        <v>3.7513055414522856</v>
      </c>
      <c r="H13" s="11">
        <v>69.589526149379651</v>
      </c>
      <c r="I13" s="13">
        <v>70.403781254792847</v>
      </c>
      <c r="J13" s="193"/>
      <c r="K13" s="193"/>
      <c r="L13" s="193"/>
      <c r="M13" s="193"/>
      <c r="N13" s="193"/>
      <c r="O13" s="196" t="e">
        <f t="shared" si="0"/>
        <v>#DIV/0!</v>
      </c>
      <c r="P13" s="208" t="e">
        <f t="shared" si="11"/>
        <v>#DIV/0!</v>
      </c>
      <c r="Q13" s="210" t="e">
        <f t="shared" si="12"/>
        <v>#DIV/0!</v>
      </c>
      <c r="R13" s="7"/>
      <c r="S13" s="108" t="b">
        <v>0</v>
      </c>
      <c r="T13" s="87" t="s">
        <v>99</v>
      </c>
      <c r="U13" s="30">
        <v>3.6919361985651955</v>
      </c>
      <c r="V13" s="33">
        <v>65.493886751960176</v>
      </c>
      <c r="W13" s="107">
        <v>58.825159426327858</v>
      </c>
      <c r="X13" s="193"/>
      <c r="Y13" s="193"/>
      <c r="Z13" s="193"/>
      <c r="AA13" s="193"/>
      <c r="AB13" s="193"/>
      <c r="AC13" s="196" t="e">
        <f t="shared" si="6"/>
        <v>#DIV/0!</v>
      </c>
      <c r="AD13" s="208" t="e">
        <f t="shared" si="7"/>
        <v>#DIV/0!</v>
      </c>
      <c r="AE13" s="210" t="e">
        <f t="shared" si="8"/>
        <v>#DIV/0!</v>
      </c>
      <c r="AG13" s="218" t="e">
        <f t="shared" si="3"/>
        <v>#DIV/0!</v>
      </c>
      <c r="AH13" s="218" t="e">
        <f t="shared" si="9"/>
        <v>#DIV/0!</v>
      </c>
      <c r="AI13" s="218" t="e">
        <f t="shared" si="10"/>
        <v>#DIV/0!</v>
      </c>
    </row>
    <row r="14" spans="1:36" ht="23.25">
      <c r="A14" s="122" t="s">
        <v>53</v>
      </c>
      <c r="B14" s="115" t="s">
        <v>39</v>
      </c>
      <c r="C14" s="125">
        <v>8</v>
      </c>
      <c r="D14" s="122">
        <v>8</v>
      </c>
      <c r="E14" s="108" t="b">
        <v>0</v>
      </c>
      <c r="F14" s="86" t="s">
        <v>98</v>
      </c>
      <c r="G14" s="10">
        <v>3.2064271207566772</v>
      </c>
      <c r="H14" s="11">
        <v>41.495118369385999</v>
      </c>
      <c r="I14" s="13">
        <v>36.201156130170268</v>
      </c>
      <c r="J14" s="193"/>
      <c r="K14" s="193"/>
      <c r="L14" s="193"/>
      <c r="M14" s="193"/>
      <c r="N14" s="193"/>
      <c r="O14" s="196" t="e">
        <f t="shared" si="0"/>
        <v>#DIV/0!</v>
      </c>
      <c r="P14" s="208" t="e">
        <f t="shared" si="11"/>
        <v>#DIV/0!</v>
      </c>
      <c r="Q14" s="210" t="e">
        <f t="shared" si="12"/>
        <v>#DIV/0!</v>
      </c>
      <c r="R14" s="7"/>
      <c r="S14" s="108" t="b">
        <v>0</v>
      </c>
      <c r="T14" s="86" t="s">
        <v>98</v>
      </c>
      <c r="U14" s="30">
        <v>3.2552639056969621</v>
      </c>
      <c r="V14" s="33">
        <v>44.762601618421641</v>
      </c>
      <c r="W14" s="107">
        <v>37.006606447578086</v>
      </c>
      <c r="X14" s="193"/>
      <c r="Y14" s="193"/>
      <c r="Z14" s="193"/>
      <c r="AA14" s="193"/>
      <c r="AB14" s="193"/>
      <c r="AC14" s="196" t="e">
        <f t="shared" si="6"/>
        <v>#DIV/0!</v>
      </c>
      <c r="AD14" s="208" t="e">
        <f t="shared" si="7"/>
        <v>#DIV/0!</v>
      </c>
      <c r="AE14" s="210" t="e">
        <f t="shared" si="8"/>
        <v>#DIV/0!</v>
      </c>
      <c r="AG14" s="218" t="e">
        <f t="shared" si="3"/>
        <v>#DIV/0!</v>
      </c>
      <c r="AH14" s="218" t="e">
        <f t="shared" si="9"/>
        <v>#DIV/0!</v>
      </c>
      <c r="AI14" s="218" t="e">
        <f t="shared" si="10"/>
        <v>#DIV/0!</v>
      </c>
    </row>
    <row r="15" spans="1:36" ht="23.25">
      <c r="A15" s="120"/>
      <c r="B15" s="114" t="s">
        <v>36</v>
      </c>
      <c r="C15" s="126"/>
      <c r="D15" s="120"/>
      <c r="E15" s="108" t="b">
        <v>0</v>
      </c>
      <c r="F15" s="87" t="s">
        <v>98</v>
      </c>
      <c r="G15" s="10">
        <v>3.4135723117664076</v>
      </c>
      <c r="H15" s="11">
        <v>54.715557025997811</v>
      </c>
      <c r="I15" s="13">
        <v>52.288420377255278</v>
      </c>
      <c r="J15" s="193"/>
      <c r="K15" s="193"/>
      <c r="L15" s="193"/>
      <c r="M15" s="193"/>
      <c r="N15" s="193"/>
      <c r="O15" s="196" t="e">
        <f t="shared" si="0"/>
        <v>#DIV/0!</v>
      </c>
      <c r="P15" s="208" t="e">
        <f t="shared" si="11"/>
        <v>#DIV/0!</v>
      </c>
      <c r="Q15" s="210" t="e">
        <f t="shared" si="12"/>
        <v>#DIV/0!</v>
      </c>
      <c r="R15" s="7"/>
      <c r="S15" s="108" t="b">
        <v>0</v>
      </c>
      <c r="T15" s="87" t="s">
        <v>98</v>
      </c>
      <c r="U15" s="30">
        <v>3.432995385993149</v>
      </c>
      <c r="V15" s="33">
        <v>55.834258357641168</v>
      </c>
      <c r="W15" s="107">
        <v>52.364184735097147</v>
      </c>
      <c r="X15" s="193"/>
      <c r="Y15" s="193"/>
      <c r="Z15" s="193"/>
      <c r="AA15" s="193"/>
      <c r="AB15" s="193"/>
      <c r="AC15" s="196" t="e">
        <f t="shared" si="6"/>
        <v>#DIV/0!</v>
      </c>
      <c r="AD15" s="208" t="e">
        <f t="shared" si="7"/>
        <v>#DIV/0!</v>
      </c>
      <c r="AE15" s="210" t="e">
        <f t="shared" si="8"/>
        <v>#DIV/0!</v>
      </c>
      <c r="AG15" s="218" t="e">
        <f t="shared" si="3"/>
        <v>#DIV/0!</v>
      </c>
      <c r="AH15" s="218" t="e">
        <f t="shared" si="9"/>
        <v>#DIV/0!</v>
      </c>
      <c r="AI15" s="218" t="e">
        <f t="shared" si="10"/>
        <v>#DIV/0!</v>
      </c>
    </row>
    <row r="16" spans="1:36" ht="23.25">
      <c r="A16" s="120"/>
      <c r="B16" s="114" t="s">
        <v>47</v>
      </c>
      <c r="C16" s="126"/>
      <c r="D16" s="120"/>
      <c r="E16" s="108" t="b">
        <v>0</v>
      </c>
      <c r="F16" s="87" t="s">
        <v>98</v>
      </c>
      <c r="G16" s="10">
        <v>3.6167362266903416</v>
      </c>
      <c r="H16" s="11">
        <v>67.269323270522932</v>
      </c>
      <c r="I16" s="13">
        <v>65.77409283596478</v>
      </c>
      <c r="J16" s="193"/>
      <c r="K16" s="193"/>
      <c r="L16" s="193"/>
      <c r="M16" s="193"/>
      <c r="N16" s="193"/>
      <c r="O16" s="196" t="e">
        <f t="shared" si="0"/>
        <v>#DIV/0!</v>
      </c>
      <c r="P16" s="208" t="e">
        <f t="shared" si="11"/>
        <v>#DIV/0!</v>
      </c>
      <c r="Q16" s="210" t="e">
        <f t="shared" si="12"/>
        <v>#DIV/0!</v>
      </c>
      <c r="R16" s="7"/>
      <c r="S16" s="108" t="b">
        <v>0</v>
      </c>
      <c r="T16" s="87" t="s">
        <v>99</v>
      </c>
      <c r="U16" s="30">
        <v>3.6028933748155807</v>
      </c>
      <c r="V16" s="33">
        <v>67.008863365672838</v>
      </c>
      <c r="W16" s="107">
        <v>62.743030863586192</v>
      </c>
      <c r="X16" s="193"/>
      <c r="Y16" s="193"/>
      <c r="Z16" s="193"/>
      <c r="AA16" s="193"/>
      <c r="AB16" s="193"/>
      <c r="AC16" s="196" t="e">
        <f t="shared" si="6"/>
        <v>#DIV/0!</v>
      </c>
      <c r="AD16" s="208" t="e">
        <f t="shared" si="7"/>
        <v>#DIV/0!</v>
      </c>
      <c r="AE16" s="210" t="e">
        <f t="shared" si="8"/>
        <v>#DIV/0!</v>
      </c>
      <c r="AG16" s="218" t="e">
        <f t="shared" si="3"/>
        <v>#DIV/0!</v>
      </c>
      <c r="AH16" s="218" t="e">
        <f t="shared" si="9"/>
        <v>#DIV/0!</v>
      </c>
      <c r="AI16" s="218" t="e">
        <f t="shared" si="10"/>
        <v>#DIV/0!</v>
      </c>
    </row>
    <row r="17" spans="1:35" ht="23.25">
      <c r="A17" s="120"/>
      <c r="B17" s="114" t="s">
        <v>48</v>
      </c>
      <c r="C17" s="126"/>
      <c r="D17" s="120"/>
      <c r="E17" s="108" t="b">
        <v>0</v>
      </c>
      <c r="F17" s="87" t="s">
        <v>99</v>
      </c>
      <c r="G17" s="10">
        <v>3.7753520610074656</v>
      </c>
      <c r="H17" s="11">
        <v>79.354195810764622</v>
      </c>
      <c r="I17" s="13">
        <v>84.035317308986777</v>
      </c>
      <c r="J17" s="193"/>
      <c r="K17" s="193"/>
      <c r="L17" s="193"/>
      <c r="M17" s="193"/>
      <c r="N17" s="193"/>
      <c r="O17" s="196" t="e">
        <f t="shared" si="0"/>
        <v>#DIV/0!</v>
      </c>
      <c r="P17" s="208" t="e">
        <f t="shared" si="11"/>
        <v>#DIV/0!</v>
      </c>
      <c r="Q17" s="210" t="e">
        <f t="shared" si="12"/>
        <v>#DIV/0!</v>
      </c>
      <c r="R17" s="7"/>
      <c r="S17" s="108" t="b">
        <v>0</v>
      </c>
      <c r="T17" s="87" t="s">
        <v>99</v>
      </c>
      <c r="U17" s="30">
        <v>3.7230526314078807</v>
      </c>
      <c r="V17" s="33">
        <v>76.757813445182123</v>
      </c>
      <c r="W17" s="107">
        <v>77.637999159851489</v>
      </c>
      <c r="X17" s="193"/>
      <c r="Y17" s="193"/>
      <c r="Z17" s="193"/>
      <c r="AA17" s="193"/>
      <c r="AB17" s="193"/>
      <c r="AC17" s="196" t="e">
        <f t="shared" si="6"/>
        <v>#DIV/0!</v>
      </c>
      <c r="AD17" s="208" t="e">
        <f t="shared" si="7"/>
        <v>#DIV/0!</v>
      </c>
      <c r="AE17" s="210" t="e">
        <f t="shared" si="8"/>
        <v>#DIV/0!</v>
      </c>
      <c r="AG17" s="218" t="e">
        <f t="shared" si="3"/>
        <v>#DIV/0!</v>
      </c>
      <c r="AH17" s="218" t="e">
        <f t="shared" si="9"/>
        <v>#DIV/0!</v>
      </c>
      <c r="AI17" s="218" t="e">
        <f t="shared" si="10"/>
        <v>#DIV/0!</v>
      </c>
    </row>
    <row r="18" spans="1:35" ht="23.25">
      <c r="A18" s="122" t="s">
        <v>57</v>
      </c>
      <c r="B18" s="113" t="s">
        <v>39</v>
      </c>
      <c r="C18" s="125">
        <v>4</v>
      </c>
      <c r="D18" s="122">
        <v>8</v>
      </c>
      <c r="E18" s="108" t="b">
        <v>0</v>
      </c>
      <c r="F18" s="86" t="s">
        <v>98</v>
      </c>
      <c r="G18" s="10">
        <v>3.4391545910273273</v>
      </c>
      <c r="H18" s="11">
        <v>59.994665819471805</v>
      </c>
      <c r="I18" s="13">
        <v>47.873106194447409</v>
      </c>
      <c r="J18" s="193"/>
      <c r="K18" s="193"/>
      <c r="L18" s="193"/>
      <c r="M18" s="193"/>
      <c r="N18" s="193"/>
      <c r="O18" s="196" t="e">
        <f t="shared" si="0"/>
        <v>#DIV/0!</v>
      </c>
      <c r="P18" s="208" t="e">
        <f t="shared" si="11"/>
        <v>#DIV/0!</v>
      </c>
      <c r="Q18" s="210" t="e">
        <f t="shared" si="12"/>
        <v>#DIV/0!</v>
      </c>
      <c r="R18" s="7"/>
      <c r="S18" s="108" t="b">
        <v>0</v>
      </c>
      <c r="T18" s="86" t="s">
        <v>98</v>
      </c>
      <c r="U18" s="30">
        <v>3.4988682912946487</v>
      </c>
      <c r="V18" s="33">
        <v>63.288024665708676</v>
      </c>
      <c r="W18" s="107">
        <v>47.425627517225003</v>
      </c>
      <c r="X18" s="193"/>
      <c r="Y18" s="193"/>
      <c r="Z18" s="193"/>
      <c r="AA18" s="193"/>
      <c r="AB18" s="193"/>
      <c r="AC18" s="196" t="e">
        <f t="shared" si="6"/>
        <v>#DIV/0!</v>
      </c>
      <c r="AD18" s="208" t="e">
        <f t="shared" si="7"/>
        <v>#DIV/0!</v>
      </c>
      <c r="AE18" s="210" t="e">
        <f t="shared" si="8"/>
        <v>#DIV/0!</v>
      </c>
      <c r="AG18" s="218" t="e">
        <f t="shared" si="3"/>
        <v>#DIV/0!</v>
      </c>
      <c r="AH18" s="218" t="e">
        <f t="shared" si="9"/>
        <v>#DIV/0!</v>
      </c>
      <c r="AI18" s="218" t="e">
        <f t="shared" si="10"/>
        <v>#DIV/0!</v>
      </c>
    </row>
    <row r="19" spans="1:35" ht="23.25">
      <c r="A19" s="120"/>
      <c r="B19" s="116" t="s">
        <v>36</v>
      </c>
      <c r="C19" s="126"/>
      <c r="D19" s="120"/>
      <c r="E19" s="108" t="b">
        <v>0</v>
      </c>
      <c r="F19" s="87" t="s">
        <v>98</v>
      </c>
      <c r="G19" s="10">
        <v>3.4894077717412628</v>
      </c>
      <c r="H19" s="11">
        <v>62.277539393773644</v>
      </c>
      <c r="I19" s="13">
        <v>53.817627114007244</v>
      </c>
      <c r="J19" s="193"/>
      <c r="K19" s="193"/>
      <c r="L19" s="193"/>
      <c r="M19" s="193"/>
      <c r="N19" s="193"/>
      <c r="O19" s="196" t="e">
        <f t="shared" si="0"/>
        <v>#DIV/0!</v>
      </c>
      <c r="P19" s="208" t="e">
        <f t="shared" si="11"/>
        <v>#DIV/0!</v>
      </c>
      <c r="Q19" s="210" t="e">
        <f t="shared" si="12"/>
        <v>#DIV/0!</v>
      </c>
      <c r="R19" s="7"/>
      <c r="S19" s="108" t="b">
        <v>0</v>
      </c>
      <c r="T19" s="87" t="s">
        <v>99</v>
      </c>
      <c r="U19" s="30">
        <v>3.5374343088560423</v>
      </c>
      <c r="V19" s="33">
        <v>65.03700254281236</v>
      </c>
      <c r="W19" s="107">
        <v>50.101242874421324</v>
      </c>
      <c r="X19" s="193"/>
      <c r="Y19" s="193"/>
      <c r="Z19" s="193"/>
      <c r="AA19" s="193"/>
      <c r="AB19" s="193"/>
      <c r="AC19" s="196" t="e">
        <f t="shared" si="6"/>
        <v>#DIV/0!</v>
      </c>
      <c r="AD19" s="208" t="e">
        <f t="shared" si="7"/>
        <v>#DIV/0!</v>
      </c>
      <c r="AE19" s="210" t="e">
        <f t="shared" si="8"/>
        <v>#DIV/0!</v>
      </c>
      <c r="AG19" s="218" t="e">
        <f t="shared" si="3"/>
        <v>#DIV/0!</v>
      </c>
      <c r="AH19" s="218" t="e">
        <f t="shared" si="9"/>
        <v>#DIV/0!</v>
      </c>
      <c r="AI19" s="218" t="e">
        <f t="shared" si="10"/>
        <v>#DIV/0!</v>
      </c>
    </row>
    <row r="20" spans="1:35" ht="23.25">
      <c r="A20" s="120"/>
      <c r="B20" s="116" t="s">
        <v>47</v>
      </c>
      <c r="C20" s="126"/>
      <c r="D20" s="120"/>
      <c r="E20" s="108" t="b">
        <v>0</v>
      </c>
      <c r="F20" s="87" t="s">
        <v>99</v>
      </c>
      <c r="G20" s="10">
        <v>3.6477327043285674</v>
      </c>
      <c r="H20" s="11">
        <v>72.011888587755053</v>
      </c>
      <c r="I20" s="13">
        <v>63.9797139980341</v>
      </c>
      <c r="J20" s="193"/>
      <c r="K20" s="193"/>
      <c r="L20" s="193"/>
      <c r="M20" s="193"/>
      <c r="N20" s="193"/>
      <c r="O20" s="196" t="e">
        <f t="shared" si="0"/>
        <v>#DIV/0!</v>
      </c>
      <c r="P20" s="208" t="e">
        <f t="shared" si="11"/>
        <v>#DIV/0!</v>
      </c>
      <c r="Q20" s="210" t="e">
        <f t="shared" si="12"/>
        <v>#DIV/0!</v>
      </c>
      <c r="R20" s="7"/>
      <c r="S20" s="108" t="b">
        <v>0</v>
      </c>
      <c r="T20" s="87" t="s">
        <v>99</v>
      </c>
      <c r="U20" s="30">
        <v>3.7081166330511541</v>
      </c>
      <c r="V20" s="33">
        <v>75.974141110327764</v>
      </c>
      <c r="W20" s="107">
        <v>60.726128610915161</v>
      </c>
      <c r="X20" s="193"/>
      <c r="Y20" s="193"/>
      <c r="Z20" s="193"/>
      <c r="AA20" s="193"/>
      <c r="AB20" s="193"/>
      <c r="AC20" s="196" t="e">
        <f t="shared" si="6"/>
        <v>#DIV/0!</v>
      </c>
      <c r="AD20" s="208" t="e">
        <f t="shared" si="7"/>
        <v>#DIV/0!</v>
      </c>
      <c r="AE20" s="210" t="e">
        <f t="shared" si="8"/>
        <v>#DIV/0!</v>
      </c>
      <c r="AG20" s="218" t="e">
        <f t="shared" si="3"/>
        <v>#DIV/0!</v>
      </c>
      <c r="AH20" s="218" t="e">
        <f t="shared" si="9"/>
        <v>#DIV/0!</v>
      </c>
      <c r="AI20" s="218" t="e">
        <f t="shared" si="10"/>
        <v>#DIV/0!</v>
      </c>
    </row>
    <row r="21" spans="1:35" ht="23.25">
      <c r="A21" s="189"/>
      <c r="B21" s="101" t="s">
        <v>48</v>
      </c>
      <c r="C21" s="188"/>
      <c r="D21" s="189"/>
      <c r="E21" s="108" t="b">
        <v>0</v>
      </c>
      <c r="F21" s="87" t="s">
        <v>99</v>
      </c>
      <c r="G21" s="10">
        <v>3.7928976521753688</v>
      </c>
      <c r="H21" s="11">
        <v>83.711619327105581</v>
      </c>
      <c r="I21" s="13">
        <v>78.241467244051933</v>
      </c>
      <c r="J21" s="193"/>
      <c r="K21" s="193"/>
      <c r="L21" s="193"/>
      <c r="M21" s="193"/>
      <c r="N21" s="193"/>
      <c r="O21" s="196" t="e">
        <f t="shared" si="0"/>
        <v>#DIV/0!</v>
      </c>
      <c r="P21" s="208" t="e">
        <f t="shared" si="11"/>
        <v>#DIV/0!</v>
      </c>
      <c r="Q21" s="210" t="e">
        <f t="shared" si="12"/>
        <v>#DIV/0!</v>
      </c>
      <c r="R21" s="7"/>
      <c r="S21" s="108" t="b">
        <v>0</v>
      </c>
      <c r="T21" s="87" t="s">
        <v>99</v>
      </c>
      <c r="U21" s="30">
        <v>3.8103082543865803</v>
      </c>
      <c r="V21" s="33">
        <v>83.019891639030845</v>
      </c>
      <c r="W21" s="107">
        <v>71.128942709890097</v>
      </c>
      <c r="X21" s="193"/>
      <c r="Y21" s="193"/>
      <c r="Z21" s="193"/>
      <c r="AA21" s="193"/>
      <c r="AB21" s="193"/>
      <c r="AC21" s="196" t="e">
        <f t="shared" si="6"/>
        <v>#DIV/0!</v>
      </c>
      <c r="AD21" s="208" t="e">
        <f t="shared" si="7"/>
        <v>#DIV/0!</v>
      </c>
      <c r="AE21" s="210" t="e">
        <f t="shared" si="8"/>
        <v>#DIV/0!</v>
      </c>
      <c r="AG21" s="218" t="e">
        <f t="shared" si="3"/>
        <v>#DIV/0!</v>
      </c>
      <c r="AH21" s="218" t="e">
        <f t="shared" si="9"/>
        <v>#DIV/0!</v>
      </c>
      <c r="AI21" s="218" t="e">
        <f t="shared" si="10"/>
        <v>#DIV/0!</v>
      </c>
    </row>
    <row r="22" spans="1:35" ht="23.25">
      <c r="A22" s="7"/>
      <c r="B22" s="7"/>
      <c r="C22" s="7"/>
      <c r="D22" s="7"/>
      <c r="E22" s="7"/>
      <c r="F22" s="7"/>
      <c r="G22" s="14"/>
      <c r="H22" s="14"/>
      <c r="I22" s="14"/>
      <c r="J22" s="194"/>
      <c r="K22" s="194"/>
      <c r="L22" s="194"/>
      <c r="M22" s="194"/>
      <c r="N22" s="194"/>
      <c r="O22" s="194"/>
      <c r="P22" s="105"/>
      <c r="Q22" s="105"/>
      <c r="R22" s="6"/>
      <c r="S22" s="7"/>
      <c r="T22" s="7"/>
      <c r="U22" s="14"/>
      <c r="V22" s="14"/>
      <c r="W22" s="14"/>
      <c r="X22" s="195"/>
      <c r="Y22" s="195"/>
      <c r="Z22" s="195"/>
      <c r="AA22" s="195"/>
      <c r="AB22" s="195"/>
      <c r="AC22" s="195"/>
    </row>
    <row r="23" spans="1:35" ht="23.25">
      <c r="A23" s="122" t="s">
        <v>60</v>
      </c>
      <c r="B23" s="115" t="s">
        <v>39</v>
      </c>
      <c r="C23" s="122">
        <v>32</v>
      </c>
      <c r="D23" s="125">
        <v>6</v>
      </c>
      <c r="E23" s="108" t="b">
        <v>0</v>
      </c>
      <c r="F23" s="86" t="s">
        <v>38</v>
      </c>
      <c r="G23" s="10">
        <v>2.8587332432963639</v>
      </c>
      <c r="H23" s="11">
        <v>28.763780000344088</v>
      </c>
      <c r="I23" s="13">
        <v>28.494997258065542</v>
      </c>
      <c r="J23" s="193"/>
      <c r="K23" s="193"/>
      <c r="L23" s="193"/>
      <c r="M23" s="193"/>
      <c r="N23" s="193"/>
      <c r="O23" s="196" t="e">
        <f t="shared" si="0"/>
        <v>#DIV/0!</v>
      </c>
      <c r="P23" s="208" t="e">
        <f t="shared" ref="P23" si="13">M23/N23</f>
        <v>#DIV/0!</v>
      </c>
      <c r="Q23" s="210" t="e">
        <f t="shared" ref="Q23" si="14">N23/M23</f>
        <v>#DIV/0!</v>
      </c>
      <c r="R23" s="7"/>
      <c r="S23" s="108" t="b">
        <v>0</v>
      </c>
      <c r="T23" s="86" t="s">
        <v>38</v>
      </c>
      <c r="U23" s="30">
        <v>2.8997155879289758</v>
      </c>
      <c r="V23" s="33">
        <v>31.652459091529327</v>
      </c>
      <c r="W23" s="107">
        <v>25.890280271396502</v>
      </c>
      <c r="X23" s="193"/>
      <c r="Y23" s="193"/>
      <c r="Z23" s="193"/>
      <c r="AA23" s="193"/>
      <c r="AB23" s="193"/>
      <c r="AC23" s="196" t="e">
        <f t="shared" ref="AC23:AC38" si="15">$AG$2/AB23</f>
        <v>#DIV/0!</v>
      </c>
      <c r="AD23" s="208" t="e">
        <f t="shared" ref="AD23" si="16">AA23/AB23</f>
        <v>#DIV/0!</v>
      </c>
      <c r="AE23" s="210" t="e">
        <f t="shared" ref="AE23" si="17">AB23/AA23</f>
        <v>#DIV/0!</v>
      </c>
      <c r="AG23" s="218" t="e">
        <f t="shared" ref="AG23:AG38" si="18">(AA23-M23)/M23*100</f>
        <v>#DIV/0!</v>
      </c>
      <c r="AH23" s="218" t="e">
        <f>(1-(AB23-N23)/N23)*100</f>
        <v>#DIV/0!</v>
      </c>
      <c r="AI23" s="218" t="e">
        <f>(AC23-O23)/O23*100</f>
        <v>#DIV/0!</v>
      </c>
    </row>
    <row r="24" spans="1:35" ht="23.25">
      <c r="A24" s="120"/>
      <c r="B24" s="114" t="s">
        <v>36</v>
      </c>
      <c r="C24" s="120"/>
      <c r="D24" s="126"/>
      <c r="E24" s="108" t="b">
        <v>0</v>
      </c>
      <c r="F24" s="87" t="s">
        <v>98</v>
      </c>
      <c r="G24" s="10">
        <v>3.1379656690455078</v>
      </c>
      <c r="H24" s="11">
        <v>38.928422569735396</v>
      </c>
      <c r="I24" s="13">
        <v>44.055129375812356</v>
      </c>
      <c r="J24" s="193"/>
      <c r="K24" s="193"/>
      <c r="L24" s="193"/>
      <c r="M24" s="193"/>
      <c r="N24" s="193"/>
      <c r="O24" s="196" t="e">
        <f t="shared" si="0"/>
        <v>#DIV/0!</v>
      </c>
      <c r="P24" s="208" t="e">
        <f t="shared" ref="P24:P39" si="19">M24/N24</f>
        <v>#DIV/0!</v>
      </c>
      <c r="Q24" s="210" t="e">
        <f t="shared" ref="Q24:Q39" si="20">N24/M24</f>
        <v>#DIV/0!</v>
      </c>
      <c r="R24" s="7"/>
      <c r="S24" s="108" t="b">
        <v>0</v>
      </c>
      <c r="T24" s="87" t="s">
        <v>98</v>
      </c>
      <c r="U24" s="30">
        <v>2.9769745262969831</v>
      </c>
      <c r="V24" s="33">
        <v>33.82672055002709</v>
      </c>
      <c r="W24" s="107">
        <v>30.10284517374874</v>
      </c>
      <c r="X24" s="193"/>
      <c r="Y24" s="193"/>
      <c r="Z24" s="193"/>
      <c r="AA24" s="193"/>
      <c r="AB24" s="193"/>
      <c r="AC24" s="196" t="e">
        <f t="shared" si="15"/>
        <v>#DIV/0!</v>
      </c>
      <c r="AD24" s="208" t="e">
        <f t="shared" ref="AD24:AD39" si="21">AA24/AB24</f>
        <v>#DIV/0!</v>
      </c>
      <c r="AE24" s="210" t="e">
        <f t="shared" ref="AE24:AE39" si="22">AB24/AA24</f>
        <v>#DIV/0!</v>
      </c>
      <c r="AG24" s="218" t="e">
        <f t="shared" si="18"/>
        <v>#DIV/0!</v>
      </c>
      <c r="AH24" s="218" t="e">
        <f t="shared" ref="AH24:AH26" si="23">(1-(AB24-N24)/N24)*100</f>
        <v>#DIV/0!</v>
      </c>
      <c r="AI24" s="218" t="e">
        <f t="shared" ref="AI24:AI26" si="24">(AC24-O24)/O24*100</f>
        <v>#DIV/0!</v>
      </c>
    </row>
    <row r="25" spans="1:35" ht="23.25">
      <c r="A25" s="120"/>
      <c r="B25" s="114" t="s">
        <v>47</v>
      </c>
      <c r="C25" s="120"/>
      <c r="D25" s="126"/>
      <c r="E25" s="108" t="b">
        <v>0</v>
      </c>
      <c r="F25" s="87" t="s">
        <v>98</v>
      </c>
      <c r="G25" s="10">
        <v>3.6456810558271155</v>
      </c>
      <c r="H25" s="11">
        <v>59.294464212365845</v>
      </c>
      <c r="I25" s="13">
        <v>66.495153488882821</v>
      </c>
      <c r="J25" s="193"/>
      <c r="K25" s="193"/>
      <c r="L25" s="193"/>
      <c r="M25" s="193"/>
      <c r="N25" s="193"/>
      <c r="O25" s="196" t="e">
        <f t="shared" si="0"/>
        <v>#DIV/0!</v>
      </c>
      <c r="P25" s="208" t="e">
        <f t="shared" si="19"/>
        <v>#DIV/0!</v>
      </c>
      <c r="Q25" s="210" t="e">
        <f t="shared" si="20"/>
        <v>#DIV/0!</v>
      </c>
      <c r="R25" s="7"/>
      <c r="S25" s="108" t="b">
        <v>0</v>
      </c>
      <c r="T25" s="87" t="s">
        <v>98</v>
      </c>
      <c r="U25" s="30">
        <v>3.2976115486377218</v>
      </c>
      <c r="V25" s="33">
        <v>48.867270403302165</v>
      </c>
      <c r="W25" s="107">
        <v>39.802798266069345</v>
      </c>
      <c r="X25" s="193"/>
      <c r="Y25" s="193"/>
      <c r="Z25" s="193"/>
      <c r="AA25" s="193"/>
      <c r="AB25" s="193"/>
      <c r="AC25" s="196" t="e">
        <f t="shared" si="15"/>
        <v>#DIV/0!</v>
      </c>
      <c r="AD25" s="208" t="e">
        <f t="shared" si="21"/>
        <v>#DIV/0!</v>
      </c>
      <c r="AE25" s="210" t="e">
        <f t="shared" si="22"/>
        <v>#DIV/0!</v>
      </c>
      <c r="AG25" s="218" t="e">
        <f t="shared" si="18"/>
        <v>#DIV/0!</v>
      </c>
      <c r="AH25" s="218" t="e">
        <f t="shared" si="23"/>
        <v>#DIV/0!</v>
      </c>
      <c r="AI25" s="218" t="e">
        <f t="shared" si="24"/>
        <v>#DIV/0!</v>
      </c>
    </row>
    <row r="26" spans="1:35" ht="23.25">
      <c r="A26" s="120"/>
      <c r="B26" s="114" t="s">
        <v>48</v>
      </c>
      <c r="C26" s="120"/>
      <c r="D26" s="126"/>
      <c r="E26" s="108" t="b">
        <v>0</v>
      </c>
      <c r="F26" s="87" t="s">
        <v>98</v>
      </c>
      <c r="G26" s="10">
        <v>3.9442180862791512</v>
      </c>
      <c r="H26" s="11">
        <v>74.949576323890881</v>
      </c>
      <c r="I26" s="13">
        <v>79.385875239115137</v>
      </c>
      <c r="J26" s="193"/>
      <c r="K26" s="193"/>
      <c r="L26" s="193"/>
      <c r="M26" s="193"/>
      <c r="N26" s="193"/>
      <c r="O26" s="196" t="e">
        <f t="shared" si="0"/>
        <v>#DIV/0!</v>
      </c>
      <c r="P26" s="208" t="e">
        <f t="shared" si="19"/>
        <v>#DIV/0!</v>
      </c>
      <c r="Q26" s="210" t="e">
        <f t="shared" si="20"/>
        <v>#DIV/0!</v>
      </c>
      <c r="R26" s="7"/>
      <c r="S26" s="108" t="b">
        <v>0</v>
      </c>
      <c r="T26" s="87" t="s">
        <v>99</v>
      </c>
      <c r="U26" s="30">
        <v>3.5766609045976647</v>
      </c>
      <c r="V26" s="33">
        <v>69.436583519425099</v>
      </c>
      <c r="W26" s="107">
        <v>63.039894334709437</v>
      </c>
      <c r="X26" s="193"/>
      <c r="Y26" s="193"/>
      <c r="Z26" s="193"/>
      <c r="AA26" s="193"/>
      <c r="AB26" s="193"/>
      <c r="AC26" s="196" t="e">
        <f t="shared" si="15"/>
        <v>#DIV/0!</v>
      </c>
      <c r="AD26" s="208" t="e">
        <f t="shared" si="21"/>
        <v>#DIV/0!</v>
      </c>
      <c r="AE26" s="210" t="e">
        <f t="shared" si="22"/>
        <v>#DIV/0!</v>
      </c>
      <c r="AG26" s="218" t="e">
        <f t="shared" si="18"/>
        <v>#DIV/0!</v>
      </c>
      <c r="AH26" s="218" t="e">
        <f t="shared" si="23"/>
        <v>#DIV/0!</v>
      </c>
      <c r="AI26" s="218" t="e">
        <f t="shared" si="24"/>
        <v>#DIV/0!</v>
      </c>
    </row>
    <row r="27" spans="1:35" ht="23.25">
      <c r="A27" s="122" t="s">
        <v>64</v>
      </c>
      <c r="B27" s="115" t="s">
        <v>39</v>
      </c>
      <c r="C27" s="125">
        <v>16</v>
      </c>
      <c r="D27" s="125">
        <v>6</v>
      </c>
      <c r="E27" s="108" t="b">
        <v>0</v>
      </c>
      <c r="F27" s="199" t="s">
        <v>38</v>
      </c>
      <c r="G27" s="10">
        <v>2.8364421188252535</v>
      </c>
      <c r="H27" s="11">
        <v>27.468931918134942</v>
      </c>
      <c r="I27" s="13">
        <v>30.572436154398083</v>
      </c>
      <c r="J27" s="193"/>
      <c r="K27" s="193"/>
      <c r="L27" s="193"/>
      <c r="M27" s="193"/>
      <c r="N27" s="193"/>
      <c r="O27" s="196" t="e">
        <f t="shared" si="0"/>
        <v>#DIV/0!</v>
      </c>
      <c r="P27" s="208" t="e">
        <f t="shared" ref="P27" si="25">M27/N27</f>
        <v>#DIV/0!</v>
      </c>
      <c r="Q27" s="210" t="e">
        <f t="shared" ref="Q27" si="26">N27/M27</f>
        <v>#DIV/0!</v>
      </c>
      <c r="R27" s="7"/>
      <c r="S27" s="108" t="b">
        <v>0</v>
      </c>
      <c r="T27" s="199" t="s">
        <v>98</v>
      </c>
      <c r="U27" s="202">
        <v>2.944578685663171</v>
      </c>
      <c r="V27" s="203">
        <v>33.871923912034489</v>
      </c>
      <c r="W27" s="204">
        <v>40.438714669081428</v>
      </c>
      <c r="X27" s="193"/>
      <c r="Y27" s="193"/>
      <c r="Z27" s="193"/>
      <c r="AA27" s="193"/>
      <c r="AB27" s="193"/>
      <c r="AC27" s="196" t="e">
        <f t="shared" si="15"/>
        <v>#DIV/0!</v>
      </c>
      <c r="AD27" s="208" t="e">
        <f t="shared" si="21"/>
        <v>#DIV/0!</v>
      </c>
      <c r="AE27" s="210" t="e">
        <f t="shared" si="22"/>
        <v>#DIV/0!</v>
      </c>
      <c r="AG27" s="218" t="e">
        <f t="shared" si="18"/>
        <v>#DIV/0!</v>
      </c>
      <c r="AH27" s="218" t="e">
        <f>(1-(AB27-N27)/N27)*100</f>
        <v>#DIV/0!</v>
      </c>
      <c r="AI27" s="218" t="e">
        <f>(AC27-O27)/O27*100</f>
        <v>#DIV/0!</v>
      </c>
    </row>
    <row r="28" spans="1:35" ht="23.25">
      <c r="A28" s="120"/>
      <c r="B28" s="197" t="s">
        <v>36</v>
      </c>
      <c r="C28" s="198"/>
      <c r="D28" s="126"/>
      <c r="E28" s="108" t="b">
        <v>0</v>
      </c>
      <c r="F28" s="87" t="s">
        <v>98</v>
      </c>
      <c r="G28" s="10">
        <v>2.9657039867790624</v>
      </c>
      <c r="H28" s="11">
        <v>30.953320151891855</v>
      </c>
      <c r="I28" s="13">
        <v>29.645581451681359</v>
      </c>
      <c r="J28" s="193"/>
      <c r="K28" s="193"/>
      <c r="L28" s="193"/>
      <c r="M28" s="193"/>
      <c r="N28" s="193"/>
      <c r="O28" s="196" t="e">
        <f t="shared" si="0"/>
        <v>#DIV/0!</v>
      </c>
      <c r="P28" s="208" t="e">
        <f t="shared" si="19"/>
        <v>#DIV/0!</v>
      </c>
      <c r="Q28" s="210" t="e">
        <f t="shared" si="20"/>
        <v>#DIV/0!</v>
      </c>
      <c r="R28" s="7"/>
      <c r="S28" s="108" t="b">
        <v>0</v>
      </c>
      <c r="T28" s="87" t="s">
        <v>98</v>
      </c>
      <c r="U28" s="30">
        <v>3.0651823136769001</v>
      </c>
      <c r="V28" s="33">
        <v>36.028178023228534</v>
      </c>
      <c r="W28" s="36">
        <v>43.685183562286227</v>
      </c>
      <c r="X28" s="193"/>
      <c r="Y28" s="193"/>
      <c r="Z28" s="193"/>
      <c r="AA28" s="193"/>
      <c r="AB28" s="193"/>
      <c r="AC28" s="196" t="e">
        <f t="shared" si="15"/>
        <v>#DIV/0!</v>
      </c>
      <c r="AD28" s="208" t="e">
        <f t="shared" si="21"/>
        <v>#DIV/0!</v>
      </c>
      <c r="AE28" s="210" t="e">
        <f t="shared" si="22"/>
        <v>#DIV/0!</v>
      </c>
      <c r="AG28" s="218" t="e">
        <f t="shared" si="18"/>
        <v>#DIV/0!</v>
      </c>
      <c r="AH28" s="218" t="e">
        <f t="shared" ref="AH28:AH38" si="27">(1-(AB28-N28)/N28)*100</f>
        <v>#DIV/0!</v>
      </c>
      <c r="AI28" s="218" t="e">
        <f t="shared" ref="AI28:AI38" si="28">(AC28-O28)/O28*100</f>
        <v>#DIV/0!</v>
      </c>
    </row>
    <row r="29" spans="1:35" ht="23.25">
      <c r="A29" s="120"/>
      <c r="B29" s="197" t="s">
        <v>47</v>
      </c>
      <c r="C29" s="198"/>
      <c r="D29" s="126"/>
      <c r="E29" s="108" t="b">
        <v>0</v>
      </c>
      <c r="F29" s="87" t="s">
        <v>98</v>
      </c>
      <c r="G29" s="10">
        <v>3.3878916879140593</v>
      </c>
      <c r="H29" s="11">
        <v>47.804192945977995</v>
      </c>
      <c r="I29" s="13">
        <v>39.240567816497304</v>
      </c>
      <c r="J29" s="193"/>
      <c r="K29" s="193"/>
      <c r="L29" s="193"/>
      <c r="M29" s="193"/>
      <c r="N29" s="193"/>
      <c r="O29" s="196" t="e">
        <f t="shared" si="0"/>
        <v>#DIV/0!</v>
      </c>
      <c r="P29" s="208" t="e">
        <f t="shared" si="19"/>
        <v>#DIV/0!</v>
      </c>
      <c r="Q29" s="210" t="e">
        <f t="shared" si="20"/>
        <v>#DIV/0!</v>
      </c>
      <c r="R29" s="7"/>
      <c r="S29" s="108" t="b">
        <v>0</v>
      </c>
      <c r="T29" s="87" t="s">
        <v>99</v>
      </c>
      <c r="U29" s="30">
        <v>3.4906853901531685</v>
      </c>
      <c r="V29" s="33">
        <v>52.099908525050857</v>
      </c>
      <c r="W29" s="36">
        <v>59.411859470935461</v>
      </c>
      <c r="X29" s="193"/>
      <c r="Y29" s="193"/>
      <c r="Z29" s="193"/>
      <c r="AA29" s="193"/>
      <c r="AB29" s="193"/>
      <c r="AC29" s="196" t="e">
        <f t="shared" si="15"/>
        <v>#DIV/0!</v>
      </c>
      <c r="AD29" s="208" t="e">
        <f t="shared" si="21"/>
        <v>#DIV/0!</v>
      </c>
      <c r="AE29" s="210" t="e">
        <f t="shared" si="22"/>
        <v>#DIV/0!</v>
      </c>
      <c r="AG29" s="218" t="e">
        <f t="shared" si="18"/>
        <v>#DIV/0!</v>
      </c>
      <c r="AH29" s="218" t="e">
        <f t="shared" si="27"/>
        <v>#DIV/0!</v>
      </c>
      <c r="AI29" s="218" t="e">
        <f t="shared" si="28"/>
        <v>#DIV/0!</v>
      </c>
    </row>
    <row r="30" spans="1:35" ht="23.25">
      <c r="A30" s="120"/>
      <c r="B30" s="201" t="s">
        <v>48</v>
      </c>
      <c r="C30" s="126"/>
      <c r="D30" s="126"/>
      <c r="E30" s="108" t="b">
        <v>0</v>
      </c>
      <c r="F30" s="200" t="s">
        <v>99</v>
      </c>
      <c r="G30" s="10">
        <v>3.6675128519130142</v>
      </c>
      <c r="H30" s="11">
        <v>64.8382664203492</v>
      </c>
      <c r="I30" s="13">
        <v>56.046483357352109</v>
      </c>
      <c r="J30" s="193"/>
      <c r="K30" s="193"/>
      <c r="L30" s="193"/>
      <c r="M30" s="193"/>
      <c r="N30" s="193"/>
      <c r="O30" s="196" t="e">
        <f t="shared" si="0"/>
        <v>#DIV/0!</v>
      </c>
      <c r="P30" s="208" t="e">
        <f t="shared" si="19"/>
        <v>#DIV/0!</v>
      </c>
      <c r="Q30" s="210" t="e">
        <f t="shared" si="20"/>
        <v>#DIV/0!</v>
      </c>
      <c r="R30" s="7"/>
      <c r="S30" s="108" t="b">
        <v>0</v>
      </c>
      <c r="T30" s="200" t="s">
        <v>99</v>
      </c>
      <c r="U30" s="205">
        <v>3.5859778364892372</v>
      </c>
      <c r="V30" s="206">
        <v>59.410903132755656</v>
      </c>
      <c r="W30" s="207">
        <v>57.991044173669096</v>
      </c>
      <c r="X30" s="193"/>
      <c r="Y30" s="193"/>
      <c r="Z30" s="193"/>
      <c r="AA30" s="193"/>
      <c r="AB30" s="193"/>
      <c r="AC30" s="196" t="e">
        <f t="shared" si="15"/>
        <v>#DIV/0!</v>
      </c>
      <c r="AD30" s="208" t="e">
        <f t="shared" si="21"/>
        <v>#DIV/0!</v>
      </c>
      <c r="AE30" s="210" t="e">
        <f t="shared" si="22"/>
        <v>#DIV/0!</v>
      </c>
      <c r="AG30" s="218" t="e">
        <f t="shared" si="18"/>
        <v>#DIV/0!</v>
      </c>
      <c r="AH30" s="218" t="e">
        <f t="shared" si="27"/>
        <v>#DIV/0!</v>
      </c>
      <c r="AI30" s="218" t="e">
        <f t="shared" si="28"/>
        <v>#DIV/0!</v>
      </c>
    </row>
    <row r="31" spans="1:35" ht="23.25">
      <c r="A31" s="122" t="s">
        <v>69</v>
      </c>
      <c r="B31" s="115" t="s">
        <v>39</v>
      </c>
      <c r="C31" s="125">
        <v>8</v>
      </c>
      <c r="D31" s="125">
        <v>6</v>
      </c>
      <c r="E31" s="108" t="b">
        <v>0</v>
      </c>
      <c r="F31" s="86" t="s">
        <v>98</v>
      </c>
      <c r="G31" s="10">
        <v>3.3748449286256279</v>
      </c>
      <c r="H31" s="11">
        <v>53.613597548141968</v>
      </c>
      <c r="I31" s="13">
        <v>42.769114646823397</v>
      </c>
      <c r="J31" s="193"/>
      <c r="K31" s="193"/>
      <c r="L31" s="193"/>
      <c r="M31" s="193"/>
      <c r="N31" s="193"/>
      <c r="O31" s="196" t="e">
        <f t="shared" si="0"/>
        <v>#DIV/0!</v>
      </c>
      <c r="P31" s="208" t="e">
        <f t="shared" si="19"/>
        <v>#DIV/0!</v>
      </c>
      <c r="Q31" s="210" t="e">
        <f t="shared" si="20"/>
        <v>#DIV/0!</v>
      </c>
      <c r="R31" s="7"/>
      <c r="S31" s="108" t="b">
        <v>0</v>
      </c>
      <c r="T31" s="86" t="s">
        <v>98</v>
      </c>
      <c r="U31" s="30">
        <v>3.3177416687814532</v>
      </c>
      <c r="V31" s="33">
        <v>49.368419899307312</v>
      </c>
      <c r="W31" s="107">
        <v>38.715328166756436</v>
      </c>
      <c r="X31" s="193"/>
      <c r="Y31" s="193"/>
      <c r="Z31" s="193"/>
      <c r="AA31" s="193"/>
      <c r="AB31" s="193"/>
      <c r="AC31" s="196" t="e">
        <f t="shared" si="15"/>
        <v>#DIV/0!</v>
      </c>
      <c r="AD31" s="208" t="e">
        <f t="shared" si="21"/>
        <v>#DIV/0!</v>
      </c>
      <c r="AE31" s="210" t="e">
        <f t="shared" si="22"/>
        <v>#DIV/0!</v>
      </c>
      <c r="AG31" s="218" t="e">
        <f t="shared" si="18"/>
        <v>#DIV/0!</v>
      </c>
      <c r="AH31" s="218" t="e">
        <f t="shared" si="27"/>
        <v>#DIV/0!</v>
      </c>
      <c r="AI31" s="218" t="e">
        <f t="shared" si="28"/>
        <v>#DIV/0!</v>
      </c>
    </row>
    <row r="32" spans="1:35" ht="23.25">
      <c r="A32" s="120"/>
      <c r="B32" s="114" t="s">
        <v>36</v>
      </c>
      <c r="C32" s="126"/>
      <c r="D32" s="126"/>
      <c r="E32" s="108" t="b">
        <v>0</v>
      </c>
      <c r="F32" s="87" t="s">
        <v>98</v>
      </c>
      <c r="G32" s="10">
        <v>3.4400032618101544</v>
      </c>
      <c r="H32" s="11">
        <v>59.211125683756016</v>
      </c>
      <c r="I32" s="13">
        <v>43.265595467854645</v>
      </c>
      <c r="J32" s="193"/>
      <c r="K32" s="193"/>
      <c r="L32" s="193"/>
      <c r="M32" s="193"/>
      <c r="N32" s="193"/>
      <c r="O32" s="196" t="e">
        <f t="shared" si="0"/>
        <v>#DIV/0!</v>
      </c>
      <c r="P32" s="208" t="e">
        <f t="shared" si="19"/>
        <v>#DIV/0!</v>
      </c>
      <c r="Q32" s="210" t="e">
        <f t="shared" si="20"/>
        <v>#DIV/0!</v>
      </c>
      <c r="R32" s="7"/>
      <c r="S32" s="108" t="b">
        <v>0</v>
      </c>
      <c r="T32" s="87" t="s">
        <v>98</v>
      </c>
      <c r="U32" s="30">
        <v>3.3786870841502203</v>
      </c>
      <c r="V32" s="33">
        <v>53.588659284846429</v>
      </c>
      <c r="W32" s="107">
        <v>37.764603039618422</v>
      </c>
      <c r="X32" s="193"/>
      <c r="Y32" s="193"/>
      <c r="Z32" s="193"/>
      <c r="AA32" s="193"/>
      <c r="AB32" s="193"/>
      <c r="AC32" s="196" t="e">
        <f t="shared" si="15"/>
        <v>#DIV/0!</v>
      </c>
      <c r="AD32" s="208" t="e">
        <f t="shared" si="21"/>
        <v>#DIV/0!</v>
      </c>
      <c r="AE32" s="210" t="e">
        <f t="shared" si="22"/>
        <v>#DIV/0!</v>
      </c>
      <c r="AG32" s="218" t="e">
        <f t="shared" si="18"/>
        <v>#DIV/0!</v>
      </c>
      <c r="AH32" s="218" t="e">
        <f t="shared" si="27"/>
        <v>#DIV/0!</v>
      </c>
      <c r="AI32" s="218" t="e">
        <f t="shared" si="28"/>
        <v>#DIV/0!</v>
      </c>
    </row>
    <row r="33" spans="1:35" ht="23.25">
      <c r="A33" s="120"/>
      <c r="B33" s="114" t="s">
        <v>47</v>
      </c>
      <c r="C33" s="126"/>
      <c r="D33" s="126"/>
      <c r="E33" s="108" t="b">
        <v>0</v>
      </c>
      <c r="F33" s="87" t="s">
        <v>98</v>
      </c>
      <c r="G33" s="10">
        <v>3.6485465509491766</v>
      </c>
      <c r="H33" s="11">
        <v>73.341345396436623</v>
      </c>
      <c r="I33" s="13">
        <v>50.549516029246405</v>
      </c>
      <c r="J33" s="193"/>
      <c r="K33" s="193"/>
      <c r="L33" s="193"/>
      <c r="M33" s="193"/>
      <c r="N33" s="193"/>
      <c r="O33" s="196" t="e">
        <f t="shared" si="0"/>
        <v>#DIV/0!</v>
      </c>
      <c r="P33" s="208" t="e">
        <f t="shared" si="19"/>
        <v>#DIV/0!</v>
      </c>
      <c r="Q33" s="210" t="e">
        <f t="shared" si="20"/>
        <v>#DIV/0!</v>
      </c>
      <c r="R33" s="7"/>
      <c r="S33" s="108" t="b">
        <v>0</v>
      </c>
      <c r="T33" s="87" t="s">
        <v>99</v>
      </c>
      <c r="U33" s="30">
        <v>3.6053644577230317</v>
      </c>
      <c r="V33" s="33">
        <v>69.421696070555328</v>
      </c>
      <c r="W33" s="107">
        <v>46.957745454819367</v>
      </c>
      <c r="X33" s="193"/>
      <c r="Y33" s="193"/>
      <c r="Z33" s="193"/>
      <c r="AA33" s="193"/>
      <c r="AB33" s="193"/>
      <c r="AC33" s="196" t="e">
        <f t="shared" si="15"/>
        <v>#DIV/0!</v>
      </c>
      <c r="AD33" s="208" t="e">
        <f t="shared" si="21"/>
        <v>#DIV/0!</v>
      </c>
      <c r="AE33" s="210" t="e">
        <f t="shared" si="22"/>
        <v>#DIV/0!</v>
      </c>
      <c r="AG33" s="218" t="e">
        <f t="shared" si="18"/>
        <v>#DIV/0!</v>
      </c>
      <c r="AH33" s="218" t="e">
        <f t="shared" si="27"/>
        <v>#DIV/0!</v>
      </c>
      <c r="AI33" s="218" t="e">
        <f t="shared" si="28"/>
        <v>#DIV/0!</v>
      </c>
    </row>
    <row r="34" spans="1:35" ht="23.25">
      <c r="A34" s="120"/>
      <c r="B34" s="114" t="s">
        <v>48</v>
      </c>
      <c r="C34" s="126"/>
      <c r="D34" s="126"/>
      <c r="E34" s="108" t="b">
        <v>0</v>
      </c>
      <c r="F34" s="87" t="s">
        <v>99</v>
      </c>
      <c r="G34" s="10">
        <v>3.774957292049824</v>
      </c>
      <c r="H34" s="11">
        <v>82.624861345147721</v>
      </c>
      <c r="I34" s="13">
        <v>68.65167753481812</v>
      </c>
      <c r="J34" s="193"/>
      <c r="K34" s="193"/>
      <c r="L34" s="193"/>
      <c r="M34" s="193"/>
      <c r="N34" s="193"/>
      <c r="O34" s="196" t="e">
        <f t="shared" si="0"/>
        <v>#DIV/0!</v>
      </c>
      <c r="P34" s="208" t="e">
        <f t="shared" si="19"/>
        <v>#DIV/0!</v>
      </c>
      <c r="Q34" s="210" t="e">
        <f t="shared" si="20"/>
        <v>#DIV/0!</v>
      </c>
      <c r="R34" s="7"/>
      <c r="S34" s="108" t="b">
        <v>0</v>
      </c>
      <c r="T34" s="87" t="s">
        <v>99</v>
      </c>
      <c r="U34" s="30">
        <v>3.7512742590868231</v>
      </c>
      <c r="V34" s="33">
        <v>81.434627785899153</v>
      </c>
      <c r="W34" s="107">
        <v>75.820203250354922</v>
      </c>
      <c r="X34" s="193"/>
      <c r="Y34" s="193"/>
      <c r="Z34" s="193"/>
      <c r="AA34" s="193"/>
      <c r="AB34" s="193"/>
      <c r="AC34" s="196" t="e">
        <f t="shared" si="15"/>
        <v>#DIV/0!</v>
      </c>
      <c r="AD34" s="208" t="e">
        <f t="shared" si="21"/>
        <v>#DIV/0!</v>
      </c>
      <c r="AE34" s="210" t="e">
        <f t="shared" si="22"/>
        <v>#DIV/0!</v>
      </c>
      <c r="AG34" s="218" t="e">
        <f t="shared" si="18"/>
        <v>#DIV/0!</v>
      </c>
      <c r="AH34" s="218" t="e">
        <f t="shared" si="27"/>
        <v>#DIV/0!</v>
      </c>
      <c r="AI34" s="218" t="e">
        <f t="shared" si="28"/>
        <v>#DIV/0!</v>
      </c>
    </row>
    <row r="35" spans="1:35" ht="23.25">
      <c r="A35" s="122" t="s">
        <v>72</v>
      </c>
      <c r="B35" s="115" t="s">
        <v>39</v>
      </c>
      <c r="C35" s="125">
        <v>4</v>
      </c>
      <c r="D35" s="125">
        <v>6</v>
      </c>
      <c r="E35" s="108" t="b">
        <v>0</v>
      </c>
      <c r="F35" s="86" t="s">
        <v>98</v>
      </c>
      <c r="G35" s="10">
        <v>3.721389698960035</v>
      </c>
      <c r="H35" s="11">
        <v>75.543647026319007</v>
      </c>
      <c r="I35" s="13">
        <v>68.741742346268666</v>
      </c>
      <c r="J35" s="193"/>
      <c r="K35" s="193"/>
      <c r="L35" s="193"/>
      <c r="M35" s="193"/>
      <c r="N35" s="193"/>
      <c r="O35" s="196" t="e">
        <f t="shared" si="0"/>
        <v>#DIV/0!</v>
      </c>
      <c r="P35" s="208" t="e">
        <f t="shared" si="19"/>
        <v>#DIV/0!</v>
      </c>
      <c r="Q35" s="210" t="e">
        <f t="shared" si="20"/>
        <v>#DIV/0!</v>
      </c>
      <c r="R35" s="7"/>
      <c r="S35" s="108" t="b">
        <v>0</v>
      </c>
      <c r="T35" s="86" t="s">
        <v>98</v>
      </c>
      <c r="U35" s="30">
        <v>3.702185829728327</v>
      </c>
      <c r="V35" s="33">
        <v>74.941846202108437</v>
      </c>
      <c r="W35" s="107">
        <v>62.444642680150366</v>
      </c>
      <c r="X35" s="193"/>
      <c r="Y35" s="193"/>
      <c r="Z35" s="193"/>
      <c r="AA35" s="193"/>
      <c r="AB35" s="193"/>
      <c r="AC35" s="196" t="e">
        <f t="shared" si="15"/>
        <v>#DIV/0!</v>
      </c>
      <c r="AD35" s="208" t="e">
        <f t="shared" si="21"/>
        <v>#DIV/0!</v>
      </c>
      <c r="AE35" s="210" t="e">
        <f t="shared" si="22"/>
        <v>#DIV/0!</v>
      </c>
      <c r="AG35" s="218" t="e">
        <f t="shared" si="18"/>
        <v>#DIV/0!</v>
      </c>
      <c r="AH35" s="218" t="e">
        <f t="shared" si="27"/>
        <v>#DIV/0!</v>
      </c>
      <c r="AI35" s="218" t="e">
        <f t="shared" si="28"/>
        <v>#DIV/0!</v>
      </c>
    </row>
    <row r="36" spans="1:35" ht="23.25">
      <c r="A36" s="120"/>
      <c r="B36" s="114" t="s">
        <v>36</v>
      </c>
      <c r="C36" s="126"/>
      <c r="D36" s="126"/>
      <c r="E36" s="108" t="b">
        <v>0</v>
      </c>
      <c r="F36" s="87" t="s">
        <v>98</v>
      </c>
      <c r="G36" s="10">
        <v>3.6982989003653177</v>
      </c>
      <c r="H36" s="11">
        <v>74.386698635742675</v>
      </c>
      <c r="I36" s="13">
        <v>61.996023673676184</v>
      </c>
      <c r="J36" s="193"/>
      <c r="K36" s="193"/>
      <c r="L36" s="193"/>
      <c r="M36" s="193"/>
      <c r="N36" s="193"/>
      <c r="O36" s="196" t="e">
        <f t="shared" si="0"/>
        <v>#DIV/0!</v>
      </c>
      <c r="P36" s="208" t="e">
        <f t="shared" si="19"/>
        <v>#DIV/0!</v>
      </c>
      <c r="Q36" s="210" t="e">
        <f t="shared" si="20"/>
        <v>#DIV/0!</v>
      </c>
      <c r="R36" s="7"/>
      <c r="S36" s="108" t="b">
        <v>0</v>
      </c>
      <c r="T36" s="87" t="s">
        <v>99</v>
      </c>
      <c r="U36" s="30">
        <v>3.6833467137646378</v>
      </c>
      <c r="V36" s="33">
        <v>74.216159631191957</v>
      </c>
      <c r="W36" s="107">
        <v>59.960519844848157</v>
      </c>
      <c r="X36" s="193"/>
      <c r="Y36" s="193"/>
      <c r="Z36" s="193"/>
      <c r="AA36" s="193"/>
      <c r="AB36" s="193"/>
      <c r="AC36" s="196" t="e">
        <f t="shared" si="15"/>
        <v>#DIV/0!</v>
      </c>
      <c r="AD36" s="208" t="e">
        <f t="shared" si="21"/>
        <v>#DIV/0!</v>
      </c>
      <c r="AE36" s="210" t="e">
        <f t="shared" si="22"/>
        <v>#DIV/0!</v>
      </c>
      <c r="AG36" s="218" t="e">
        <f t="shared" si="18"/>
        <v>#DIV/0!</v>
      </c>
      <c r="AH36" s="218" t="e">
        <f t="shared" si="27"/>
        <v>#DIV/0!</v>
      </c>
      <c r="AI36" s="218" t="e">
        <f t="shared" si="28"/>
        <v>#DIV/0!</v>
      </c>
    </row>
    <row r="37" spans="1:35" ht="23.25">
      <c r="A37" s="120"/>
      <c r="B37" s="114" t="s">
        <v>47</v>
      </c>
      <c r="C37" s="126"/>
      <c r="D37" s="126"/>
      <c r="E37" s="108" t="b">
        <v>0</v>
      </c>
      <c r="F37" s="87" t="s">
        <v>99</v>
      </c>
      <c r="G37" s="10">
        <v>3.7661000075952908</v>
      </c>
      <c r="H37" s="11">
        <v>78.840539578239742</v>
      </c>
      <c r="I37" s="13">
        <v>68.81367963251796</v>
      </c>
      <c r="J37" s="193"/>
      <c r="K37" s="193"/>
      <c r="L37" s="193"/>
      <c r="M37" s="193"/>
      <c r="N37" s="193"/>
      <c r="O37" s="196" t="e">
        <f t="shared" si="0"/>
        <v>#DIV/0!</v>
      </c>
      <c r="P37" s="208" t="e">
        <f t="shared" si="19"/>
        <v>#DIV/0!</v>
      </c>
      <c r="Q37" s="210" t="e">
        <f t="shared" si="20"/>
        <v>#DIV/0!</v>
      </c>
      <c r="R37" s="7"/>
      <c r="S37" s="108" t="b">
        <v>0</v>
      </c>
      <c r="T37" s="87" t="s">
        <v>99</v>
      </c>
      <c r="U37" s="30">
        <v>3.7663501107692801</v>
      </c>
      <c r="V37" s="33">
        <v>79.945840571663865</v>
      </c>
      <c r="W37" s="107">
        <v>69.048605936269226</v>
      </c>
      <c r="X37" s="193"/>
      <c r="Y37" s="193"/>
      <c r="Z37" s="193"/>
      <c r="AA37" s="193"/>
      <c r="AB37" s="193"/>
      <c r="AC37" s="196" t="e">
        <f t="shared" si="15"/>
        <v>#DIV/0!</v>
      </c>
      <c r="AD37" s="208" t="e">
        <f t="shared" si="21"/>
        <v>#DIV/0!</v>
      </c>
      <c r="AE37" s="210" t="e">
        <f t="shared" si="22"/>
        <v>#DIV/0!</v>
      </c>
      <c r="AG37" s="218" t="e">
        <f t="shared" si="18"/>
        <v>#DIV/0!</v>
      </c>
      <c r="AH37" s="218" t="e">
        <f t="shared" si="27"/>
        <v>#DIV/0!</v>
      </c>
      <c r="AI37" s="218" t="e">
        <f t="shared" si="28"/>
        <v>#DIV/0!</v>
      </c>
    </row>
    <row r="38" spans="1:35" ht="23.25">
      <c r="A38" s="189"/>
      <c r="B38" s="103" t="s">
        <v>48</v>
      </c>
      <c r="C38" s="188"/>
      <c r="D38" s="188"/>
      <c r="E38" s="109" t="b">
        <v>0</v>
      </c>
      <c r="F38" s="102" t="s">
        <v>99</v>
      </c>
      <c r="G38" s="10">
        <v>3.892815839266436</v>
      </c>
      <c r="H38" s="11">
        <v>84.575028314155148</v>
      </c>
      <c r="I38" s="13">
        <v>81.664383288788798</v>
      </c>
      <c r="J38" s="193"/>
      <c r="K38" s="193"/>
      <c r="L38" s="193"/>
      <c r="M38" s="193"/>
      <c r="N38" s="193"/>
      <c r="O38" s="196" t="e">
        <f t="shared" si="0"/>
        <v>#DIV/0!</v>
      </c>
      <c r="P38" s="208" t="e">
        <f t="shared" si="19"/>
        <v>#DIV/0!</v>
      </c>
      <c r="Q38" s="210" t="e">
        <f t="shared" si="20"/>
        <v>#DIV/0!</v>
      </c>
      <c r="R38" s="7"/>
      <c r="S38" s="109" t="b">
        <v>0</v>
      </c>
      <c r="T38" s="102" t="s">
        <v>99</v>
      </c>
      <c r="U38" s="30">
        <v>3.8729610387476434</v>
      </c>
      <c r="V38" s="33">
        <v>86.694236962511866</v>
      </c>
      <c r="W38" s="107">
        <v>82.124096262190932</v>
      </c>
      <c r="X38" s="193"/>
      <c r="Y38" s="193"/>
      <c r="Z38" s="193"/>
      <c r="AA38" s="193"/>
      <c r="AB38" s="193"/>
      <c r="AC38" s="196" t="e">
        <f t="shared" si="15"/>
        <v>#DIV/0!</v>
      </c>
      <c r="AD38" s="208" t="e">
        <f t="shared" si="21"/>
        <v>#DIV/0!</v>
      </c>
      <c r="AE38" s="210" t="e">
        <f t="shared" si="22"/>
        <v>#DIV/0!</v>
      </c>
      <c r="AG38" s="218" t="e">
        <f t="shared" si="18"/>
        <v>#DIV/0!</v>
      </c>
      <c r="AH38" s="218" t="e">
        <f t="shared" si="27"/>
        <v>#DIV/0!</v>
      </c>
      <c r="AI38" s="218" t="e">
        <f t="shared" si="28"/>
        <v>#DIV/0!</v>
      </c>
    </row>
  </sheetData>
  <mergeCells count="60">
    <mergeCell ref="A31:A34"/>
    <mergeCell ref="C31:C34"/>
    <mergeCell ref="D31:D34"/>
    <mergeCell ref="A35:A38"/>
    <mergeCell ref="C35:C38"/>
    <mergeCell ref="D35:D38"/>
    <mergeCell ref="A23:A26"/>
    <mergeCell ref="C23:C26"/>
    <mergeCell ref="D23:D26"/>
    <mergeCell ref="A27:A30"/>
    <mergeCell ref="C27:C30"/>
    <mergeCell ref="D27:D30"/>
    <mergeCell ref="A14:A17"/>
    <mergeCell ref="C14:C17"/>
    <mergeCell ref="D14:D17"/>
    <mergeCell ref="A18:A21"/>
    <mergeCell ref="C18:C21"/>
    <mergeCell ref="D18:D21"/>
    <mergeCell ref="C6:C9"/>
    <mergeCell ref="D6:D9"/>
    <mergeCell ref="A7:A9"/>
    <mergeCell ref="A10:A13"/>
    <mergeCell ref="C10:C13"/>
    <mergeCell ref="D10:D13"/>
    <mergeCell ref="AD2:AD4"/>
    <mergeCell ref="AE2:AE4"/>
    <mergeCell ref="G3:G4"/>
    <mergeCell ref="H3:H4"/>
    <mergeCell ref="I3:I4"/>
    <mergeCell ref="J3:J4"/>
    <mergeCell ref="K3:K4"/>
    <mergeCell ref="L3:L4"/>
    <mergeCell ref="U3:U4"/>
    <mergeCell ref="V3:V4"/>
    <mergeCell ref="T2:T4"/>
    <mergeCell ref="U2:W2"/>
    <mergeCell ref="X2:Z2"/>
    <mergeCell ref="AA2:AA4"/>
    <mergeCell ref="AB2:AB4"/>
    <mergeCell ref="AC2:AC4"/>
    <mergeCell ref="W3:W4"/>
    <mergeCell ref="X3:X4"/>
    <mergeCell ref="Y3:Y4"/>
    <mergeCell ref="Z3:Z4"/>
    <mergeCell ref="M2:M4"/>
    <mergeCell ref="N2:N4"/>
    <mergeCell ref="O2:O4"/>
    <mergeCell ref="P2:P4"/>
    <mergeCell ref="Q2:Q4"/>
    <mergeCell ref="S2:S4"/>
    <mergeCell ref="A1:A4"/>
    <mergeCell ref="B1:B4"/>
    <mergeCell ref="C1:C4"/>
    <mergeCell ref="D1:D4"/>
    <mergeCell ref="E1:Q1"/>
    <mergeCell ref="S1:AE1"/>
    <mergeCell ref="E2:E4"/>
    <mergeCell ref="F2:F4"/>
    <mergeCell ref="G2:I2"/>
    <mergeCell ref="J2:L2"/>
  </mergeCells>
  <conditionalFormatting sqref="F6:F21 F23:F38 T23:T38 T6:T21">
    <cfRule type="containsText" dxfId="0" priority="1" operator="containsText" text="L2">
      <formula>NOT(ISERROR(SEARCH("L2",F6)))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lorenzo squarzoni</cp:lastModifiedBy>
  <cp:revision/>
  <dcterms:created xsi:type="dcterms:W3CDTF">2026-03-17T10:09:18Z</dcterms:created>
  <dcterms:modified xsi:type="dcterms:W3CDTF">2026-05-26T13:58:09Z</dcterms:modified>
  <cp:category/>
  <cp:contentStatus/>
</cp:coreProperties>
</file>